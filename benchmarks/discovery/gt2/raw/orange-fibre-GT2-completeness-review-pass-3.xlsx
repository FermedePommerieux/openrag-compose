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eloiprimaux/Downloads/"/>
    </mc:Choice>
  </mc:AlternateContent>
  <xr:revisionPtr revIDLastSave="0" documentId="13_ncr:1_{49328AEA-DE24-DC4D-9765-4EDA6E42C132}" xr6:coauthVersionLast="47" xr6:coauthVersionMax="47" xr10:uidLastSave="{00000000-0000-0000-0000-000000000000}"/>
  <bookViews>
    <workbookView xWindow="0" yWindow="780" windowWidth="36000" windowHeight="21540" activeTab="2" xr2:uid="{00000000-000D-0000-FFFF-FFFF00000000}"/>
  </bookViews>
  <sheets>
    <sheet name="Règles de jugement" sheetId="1" r:id="rId1"/>
    <sheet name="Synthèse" sheetId="2" r:id="rId2"/>
    <sheet name="Revue complémentaire" sheetId="3" r:id="rId3"/>
    <sheet name="Contrôle négatif acquis" sheetId="4" r:id="rId4"/>
    <sheet name="Jugements acquis" sheetId="5" r:id="rId5"/>
    <sheet name="Composants acqu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0" i="2"/>
  <c r="B9" i="2"/>
  <c r="B8" i="2"/>
  <c r="B7" i="2"/>
  <c r="B6" i="2"/>
  <c r="B5" i="2"/>
  <c r="B4" i="2"/>
  <c r="B11" i="2" l="1"/>
  <c r="B12" i="2" s="1"/>
</calcChain>
</file>

<file path=xl/sharedStrings.xml><?xml version="1.0" encoding="utf-8"?>
<sst xmlns="http://schemas.openxmlformats.org/spreadsheetml/2006/main" count="7113" uniqueCount="1786">
  <si>
    <t>GT2 — Contrôle de complétude, passe humaine 3</t>
  </si>
  <si>
    <t>Aucun label n'est prérempli dans la tranche complémentaire.</t>
  </si>
  <si>
    <t>État</t>
  </si>
  <si>
    <t>GT2_FREEZE = BLOCKED tant que les 13 lignes de cette passe ne sont pas toutes jugées.</t>
  </si>
  <si>
    <t>Sujet</t>
  </si>
  <si>
    <t>Orange/Sosh ET fibre ou accès Internet fixe, avec centralité thématique.</t>
  </si>
  <si>
    <t>CORE</t>
  </si>
  <si>
    <t>Orange/Sosh et fibre/Internet fixe sont constitutifs du sujet principal, quelle que soit la nature documentaire.</t>
  </si>
  <si>
    <t>CONTEXTUAL</t>
  </si>
  <si>
    <t>Orange + fibre/Internet fixe apportent une information utile mais secondaire (SIG, comptabilité, rapport, tableau, présentation, plaquette, budget…).</t>
  </si>
  <si>
    <t>NOT_RELEVANT</t>
  </si>
  <si>
    <t>Mobile seul, 4G/5G seule, téléphonie seule, ADSL/DSL seul, autre opérateur sans rôle structurel d'Orange, mention accidentelle ou sans apport documentaire réel.</t>
  </si>
  <si>
    <t>Substitution marque</t>
  </si>
  <si>
    <t>Remplacer Orange/Sosh par Free/SFR/Bouygues : si le document reste pertinent de la même manière, il n'est pas CORE.</t>
  </si>
  <si>
    <t>Substitution service</t>
  </si>
  <si>
    <t>Remplacer fibre/Internet fixe par mobile/téléphonie/ADSL : si le document reste pertinent de la même manière, il n'est pas CORE.</t>
  </si>
  <si>
    <t>Responsabilité</t>
  </si>
  <si>
    <t>Remplir uniquement « Label document humain » et éventuellement « Notes humaines ». Les signaux de sélection ne sont jamais des qrels.</t>
  </si>
  <si>
    <t>Priorité</t>
  </si>
  <si>
    <t>Le jugement humain document prévaut sur la métadonnée composant et sur toute suggestion automatisée.</t>
  </si>
  <si>
    <t>OpenArchiver</t>
  </si>
  <si>
    <t>Utiliser exclusivement https://openarchiver.ferme-de-pommerieux.fr.</t>
  </si>
  <si>
    <t>Après revue</t>
  </si>
  <si>
    <t>Relancer la consolidation et le gate. Ne pas présenter cette tranche comme un GT2 figé.</t>
  </si>
  <si>
    <t>GT2 — Synthèse du gate de complétude</t>
  </si>
  <si>
    <t>Mesure</t>
  </si>
  <si>
    <t>Valeur</t>
  </si>
  <si>
    <t>Interprétation</t>
  </si>
  <si>
    <t>Jugements composant acquis</t>
  </si>
  <si>
    <t>Métadonnées uniquement — pas de propagation automatique</t>
  </si>
  <si>
    <t>Jugements document acquis</t>
  </si>
  <si>
    <t>Consolidation humaine stage 1 + stage 2</t>
  </si>
  <si>
    <t>CORE acquis</t>
  </si>
  <si>
    <t>Qrel grade 2</t>
  </si>
  <si>
    <t>CONTEXTUAL acquis</t>
  </si>
  <si>
    <t>Qrel grade 1</t>
  </si>
  <si>
    <t>NOT_RELEVANT acquis</t>
  </si>
  <si>
    <t>Qrel grade 0</t>
  </si>
  <si>
    <t>Candidats de complétude</t>
  </si>
  <si>
    <t>Exact/near-exact title families ancrées dans des CORE humains</t>
  </si>
  <si>
    <t>Candidats jugés dans cette passe</t>
  </si>
  <si>
    <t>Doit atteindre 13</t>
  </si>
  <si>
    <t>Candidats encore non jugés</t>
  </si>
  <si>
    <t>Doit atteindre 0 avant recontrôle du freeze</t>
  </si>
  <si>
    <t>GT2_FREEZE</t>
  </si>
  <si>
    <t>Fail-closed</t>
  </si>
  <si>
    <t>Contrôle négatif acquis</t>
  </si>
  <si>
    <t>60/60 NOT_RELEVANT ; signal résiduel observé 0%</t>
  </si>
  <si>
    <t>Corpus digest</t>
  </si>
  <si>
    <t>038987ca2eb70b2e56d674bc45e9b60fe00652e72296249dba0252d6964fafd7</t>
  </si>
  <si>
    <t>47 454 occurrences / 47 400 documents</t>
  </si>
  <si>
    <t>Guideline version</t>
  </si>
  <si>
    <t>orange-fibre-cross-domain-guideline-v1</t>
  </si>
  <si>
    <t>Brand/service substitution tests inclus</t>
  </si>
  <si>
    <t>Ordre</t>
  </si>
  <si>
    <t>Classe de sélection</t>
  </si>
  <si>
    <t>Pourquoi revoir</t>
  </si>
  <si>
    <t>Label document humain</t>
  </si>
  <si>
    <t>Notes humaines</t>
  </si>
  <si>
    <t>Label composant humain</t>
  </si>
  <si>
    <t>Risques faux positifs</t>
  </si>
  <si>
    <t>Signaux contexte secondaire</t>
  </si>
  <si>
    <t>component_id</t>
  </si>
  <si>
    <t>Titre</t>
  </si>
  <si>
    <t>Date</t>
  </si>
  <si>
    <t>Expéditeur</t>
  </si>
  <si>
    <t>Destinataires</t>
  </si>
  <si>
    <t>Closure actuelle</t>
  </si>
  <si>
    <t>Best RRF</t>
  </si>
  <si>
    <t>Best dense</t>
  </si>
  <si>
    <t>Best lexical</t>
  </si>
  <si>
    <t>Aperçu</t>
  </si>
  <si>
    <t>Titre CORE ancre</t>
  </si>
  <si>
    <t>Similarité titre</t>
  </si>
  <si>
    <t>Email ID</t>
  </si>
  <si>
    <t>URL mail complet</t>
  </si>
  <si>
    <t>candidate_id</t>
  </si>
  <si>
    <t>EXACT_HUMAN_CORE_TITLE_FAMILY</t>
  </si>
  <si>
    <t>Le titre du document non jugé appartient à une famille structurelle exacte ou proche d'un titre CORE humain ; une revue humaine est requise.</t>
  </si>
  <si>
    <t>component-157917ccea03a87a</t>
  </si>
  <si>
    <t>Confirmation de votre commande</t>
  </si>
  <si>
    <t>Esp@ce Client Bouygues Telecom &lt;espaceclient@bouyguestelecom.fr&gt;</t>
  </si>
  <si>
    <t>primaux@wisearch.fr</t>
  </si>
  <si>
    <t>Confirmation de votre commande From: Esp@ce Client Bouygues Telecom &lt;espaceclient@bouyguestelecom.fr&gt; To: primaux@wisearch.fr Date: 2015-02-05T09:16:59+00:00 | &lt;!-- image --&gt; | |-----------------------------------------------------------------| | Vous recevez cet email car vous êtes un client Bouygues Telecom | | &lt;!-- image --&gt; | | Bouygues Telecom &lt;!-- image --&gt; | ELOI PRIMAUX 0661973582 | Mon compte &lt;!-- image --&gt; | &lt;!-- image --&gt; | |------------------------------------|---------------------------|------------------------------|------------------| | &lt;!-- image --&gt; | Récapitulatif de votre commande | &lt;!-- image --&gt; | &lt;!-- image --&gt; | &lt;!-- image --&gt; | |------------------|--------------------</t>
  </si>
  <si>
    <t>ceb7f2f0-c798-445c-a50f-3c08967f9472</t>
  </si>
  <si>
    <t>https://openarchiver.ferme-de-pommerieux.fr/dashboard/archived-emails/ceb7f2f0-c798-445c-a50f-3c08967f9472</t>
  </si>
  <si>
    <t>candidate-2607f22e7742f1ff</t>
  </si>
  <si>
    <t>component-a270bc4405989a76</t>
  </si>
  <si>
    <t>facture_9073083280_2025-02-04.pdf</t>
  </si>
  <si>
    <t>[Document structural region] Page: 1 Region: page_footer - Position(left=208.6, top=40.6); Text: Orange SA au capital de 10 640 226 396 € - 111 quai du Prés. Roosevelt 92130 Issy-les-Moulineaux - 380 129 866 RCS Nanterre - Position(left=507.4, top=23.1); Text: page : 1/2</t>
  </si>
  <si>
    <t>facture_9093277556_2023-04-06.pdf</t>
  </si>
  <si>
    <t>f551a23b-c7fd-4626-ad05-57b26c00afaf</t>
  </si>
  <si>
    <t>https://openarchiver.ferme-de-pommerieux.fr/dashboard/archived-emails/f551a23b-c7fd-4626-ad05-57b26c00afaf</t>
  </si>
  <si>
    <t>candidate-356e7220dbe8e141</t>
  </si>
  <si>
    <t>NEAR_HUMAN_CORE_TITLE_FAMILY</t>
  </si>
  <si>
    <t>REPORT_OR_PRESENTATION</t>
  </si>
  <si>
    <t>component-e13afdb1b8e7f92a</t>
  </si>
  <si>
    <t>EARL FERME DE POMEMRIEUX - Plaquette Banque 2016</t>
  </si>
  <si>
    <t>Eloi Primaux &lt;eloi@ferme-de-pommerieux.fr&gt;</t>
  </si>
  <si>
    <t>BENRAHAL Fairouz &lt;fairouz.benrahal@ca-valdefrance.fr&gt;</t>
  </si>
  <si>
    <t>EARL FERME DE POMEMRIEUX - Plaquette Banque 2016 From: Eloi Primaux &lt;eloi@ferme-de-pommerieux.fr&gt; To: BENRAHAL Fairouz &lt;fairouz.benrahal@ca-valdefrance.fr&gt; Date: 2018-05-02T07:54:13+00:00 Bonjour Mme. Ferouz, Vous trouverez ci-après la plaquette banque de l‘exercice 2016 Bien cordialement Eloi Primaux EARL Ferme de Pommerieux Domaine de Pommerieux 37 rue de la Grande Sologne 41600 Nouan le Fuzelier Mob : + 33 (0) 6 61 97 35 82 Ce message est destiné exclusivement aux personnes dont le nom figure ci-dessus. Il peut contenir des informations protégées par le secret professionnel et dont la divulgation est strictement prohibée.This message is intended for the above-mentioned addressee(s) only.</t>
  </si>
  <si>
    <t>EARL FERME DE POMMERIEUX  - plaquettes 2022 et 2021</t>
  </si>
  <si>
    <t>96bf11af-4ce9-4642-97eb-d9c47a37b07d</t>
  </si>
  <si>
    <t>https://openarchiver.ferme-de-pommerieux.fr/dashboard/archived-emails/96bf11af-4ce9-4642-97eb-d9c47a37b07d</t>
  </si>
  <si>
    <t>candidate-403cf8baad2c7d93</t>
  </si>
  <si>
    <t>MOBILE_ONLY</t>
  </si>
  <si>
    <t>component-ec5e0cac3920ae9c</t>
  </si>
  <si>
    <t>facture_9073083280_2025-01-06.pdf</t>
  </si>
  <si>
    <t>votre offre Série Limitée Sosh 17,99€ 100 Go synthèse de votre offre page suivante détails et conditions sur votre espace client</t>
  </si>
  <si>
    <t>e46ad9df-96d3-486a-84f2-ab4fd51bd80c</t>
  </si>
  <si>
    <t>https://openarchiver.ferme-de-pommerieux.fr/dashboard/archived-emails/e46ad9df-96d3-486a-84f2-ab4fd51bd80c</t>
  </si>
  <si>
    <t>candidate-475d34e06796e98d</t>
  </si>
  <si>
    <t>component-97bda1a19ac038f4</t>
  </si>
  <si>
    <t>facture_9073083280_2023-12-04.pdf</t>
  </si>
  <si>
    <t>5fac8a05-b351-4aa7-a2ac-4994de515778</t>
  </si>
  <si>
    <t>https://openarchiver.ferme-de-pommerieux.fr/dashboard/archived-emails/5fac8a05-b351-4aa7-a2ac-4994de515778</t>
  </si>
  <si>
    <t>candidate-499105060a1ff8fd</t>
  </si>
  <si>
    <t>ACCOUNTING</t>
  </si>
  <si>
    <t>component-c547c5afd1fd4452</t>
  </si>
  <si>
    <t>Confirmation de votre commande Facturation M. PRIMAUX Eloi POMMERIEUX 41600 NOUAN LE FUZELIER En souscrivant une offre Sosh, vous acceptez l'envoi de votre facture mensuelle au format Ã©lectronique Ã l'adresse e-mail que vous avez communiquÃ©e. Votre 1Ã¨re facture vous sera adressÃ©e dans les 10 jours aprÃ¨s validation de votre commande. spacer bloc Bon a savoir (optionnel) spacer Titre recap commande &lt;tr&gt; &lt;td style="padding-left:20px; padding-right:20px; padding-top:30px; padding-bottom:30px; font-family: arial, sans-serif; font-size: 29px; line-height:34px; font-weight:bold; background-color:white;"&gt;RÃ©capitulatif &lt;br/&gt; de votre commande&lt;/td&gt; &lt;/tr&gt; spacer &lt;tr style="height:10px; font-size:</t>
  </si>
  <si>
    <t>12e5861c-a7c6-4c5c-a6ca-e99d7802930d</t>
  </si>
  <si>
    <t>https://openarchiver.ferme-de-pommerieux.fr/dashboard/archived-emails/12e5861c-a7c6-4c5c-a6ca-e99d7802930d</t>
  </si>
  <si>
    <t>candidate-5e43bb3d17ed7fc6</t>
  </si>
  <si>
    <t>component-bea609695f5c15a5</t>
  </si>
  <si>
    <t>250117-facture_9073083280_2025-01-06.pdf</t>
  </si>
  <si>
    <t>959d0a53-7a4c-4ea9-b4e2-cd488fed01bf</t>
  </si>
  <si>
    <t>https://openarchiver.ferme-de-pommerieux.fr/dashboard/archived-emails/959d0a53-7a4c-4ea9-b4e2-cd488fed01bf</t>
  </si>
  <si>
    <t>candidate-8c313b06c38c6129</t>
  </si>
  <si>
    <t>component-33f68a427068d9f0</t>
  </si>
  <si>
    <t>facture_9073083280_2023-01-04.pdf</t>
  </si>
  <si>
    <t>f8ffeb18-9f2c-43cc-8ad3-595237b116eb</t>
  </si>
  <si>
    <t>https://openarchiver.ferme-de-pommerieux.fr/dashboard/archived-emails/f8ffeb18-9f2c-43cc-8ad3-595237b116eb</t>
  </si>
  <si>
    <t>candidate-97f0168659ac16f1</t>
  </si>
  <si>
    <t>component-f66f279386166fe9</t>
  </si>
  <si>
    <t>Grand livre auxiliaire CLIENTS.pdf</t>
  </si>
  <si>
    <t>Justificatif de solde Comptes auxiliaires du CAADIV200 CAADIV200 au Dates comptables du 03/07/2012 30/12/2099 au Etablissement &lt;&lt;Tous&gt;&gt; Devise &lt;&lt;Tous&gt;&gt; / Affichage en euros Numéros de pièces (folios) de à Référence interne Type d'écritures Normal Exercice &lt;&lt;Tous&gt;&gt; Nature des comptes &lt;&lt;Tous&gt;&gt; Mode de sélection Comptes d'exception Tous les comptes Ecritures validées Lettrées n n A-Nouveaux détaillés Justif. de solde en date du 31/12/2019 Comptes généraux du au 411000 411000</t>
  </si>
  <si>
    <t>Grand livre auxiliaire.pdf</t>
  </si>
  <si>
    <t>82d9c0d1-3d30-40a6-b48b-f386dcbf862a</t>
  </si>
  <si>
    <t>https://openarchiver.ferme-de-pommerieux.fr/dashboard/archived-emails/82d9c0d1-3d30-40a6-b48b-f386dcbf862a</t>
  </si>
  <si>
    <t>candidate-a664e7dfb038e739</t>
  </si>
  <si>
    <t>component-32431603174baed8</t>
  </si>
  <si>
    <t>Confirmation de commande</t>
  </si>
  <si>
    <t>La Poste &lt;laposte@notif-lpfr-laposte.info&gt;</t>
  </si>
  <si>
    <t>Confirmation de commande From: La Poste &lt;laposte@notif-lpfr-laposte.info&gt; To: primaux@wisearch.fr Date: 2021-04-30T13:45:47+00:00 | Bonjour M. Eloi Primaux, Votre commande n° 770694937 sur la Boutique a bien été enregistrée le 30/04/2021. Colissimo en ligne Imprimez votre bordereau d'affranchissement - Le code barre du bordereau doit être bien imprimé et lisible - Le bordereau doit être collé à plat sur une seule face du colis Vous n'avez pas d'imprimante ? Imprimez ce bordereau en bureau de Poste, sur l'automate en libre-service ou au guichet. &gt; En savoir plus.</t>
  </si>
  <si>
    <t>115d8da2-59c7-4675-a1f5-2cf966d55857</t>
  </si>
  <si>
    <t>https://openarchiver.ferme-de-pommerieux.fr/dashboard/archived-emails/115d8da2-59c7-4675-a1f5-2cf966d55857</t>
  </si>
  <si>
    <t>candidate-cc0a2e6332127afc</t>
  </si>
  <si>
    <t>component-685924f0a0029990</t>
  </si>
  <si>
    <t>Votre colis ORANGE est arrivé dans votre relais Pickup !</t>
  </si>
  <si>
    <t>Votre colis ORANGE est arrivé dans votre relais Pickup ! | | | | | | | | | | | | | | |</t>
  </si>
  <si>
    <t>394f729d-6dab-4490-aff2-c9c521f8c0f6</t>
  </si>
  <si>
    <t>https://openarchiver.ferme-de-pommerieux.fr/dashboard/archived-emails/394f729d-6dab-4490-aff2-c9c521f8c0f6</t>
  </si>
  <si>
    <t>candidate-cdc289be903e7545</t>
  </si>
  <si>
    <t>component-b8b199e838dd838b</t>
  </si>
  <si>
    <t>facture_9073083280_2024-10-04.pdf</t>
  </si>
  <si>
    <t>92921513-2838-4fec-835a-962242fcae8a</t>
  </si>
  <si>
    <t>https://openarchiver.ferme-de-pommerieux.fr/dashboard/archived-emails/92921513-2838-4fec-835a-962242fcae8a</t>
  </si>
  <si>
    <t>candidate-d7bae65995b86664</t>
  </si>
  <si>
    <t>component-0a605204cf7a9e6b</t>
  </si>
  <si>
    <t>facture_9073083280_2023-02-06.pdf</t>
  </si>
  <si>
    <t>26ce331e-e775-4ed6-963f-746912862514</t>
  </si>
  <si>
    <t>https://openarchiver.ferme-de-pommerieux.fr/dashboard/archived-emails/26ce331e-e775-4ed6-963f-746912862514</t>
  </si>
  <si>
    <t>candidate-f9a5bdf11de8d796</t>
  </si>
  <si>
    <t>Source revue</t>
  </si>
  <si>
    <t>Feuille</t>
  </si>
  <si>
    <t>Ligne</t>
  </si>
  <si>
    <t>candidate-f67ca1217017c1c1</t>
  </si>
  <si>
    <t>component-5532cf212636b9cc</t>
  </si>
  <si>
    <t>Entrées CE Solognot</t>
  </si>
  <si>
    <t>orange-fibre-GT2-derniere-revue-ciblee.xlsx</t>
  </si>
  <si>
    <t>Contrôle négatif</t>
  </si>
  <si>
    <t>candidate-8f638c8898fb5a83</t>
  </si>
  <si>
    <t>component-2f8015a9f628ef91</t>
  </si>
  <si>
    <t>FR56709535.pdf</t>
  </si>
  <si>
    <t>candidate-27fd041fab502f3c</t>
  </si>
  <si>
    <t>component-8c11befbdf12c26e</t>
  </si>
  <si>
    <t>Re: Groupes de travail cahier des charges et structuration filière</t>
  </si>
  <si>
    <t>candidate-ebe017a6fc103e64</t>
  </si>
  <si>
    <t>component-b472b1ec3141e100</t>
  </si>
  <si>
    <t>PG</t>
  </si>
  <si>
    <t>candidate-49db439377ab403f</t>
  </si>
  <si>
    <t>component-014475510e184f9e</t>
  </si>
  <si>
    <t>Notre 2ème journée de formation, ce mardi 14 novembre 2023</t>
  </si>
  <si>
    <t>candidate-d2ee7a2719ccd83c</t>
  </si>
  <si>
    <t>component-666f8e3b20fac835</t>
  </si>
  <si>
    <t>20250108_Tax Invoice_404-7015567-4885141.pdf</t>
  </si>
  <si>
    <t>candidate-b4d8caaefc91ab41</t>
  </si>
  <si>
    <t>component-91eb13e3a5b5cdfc</t>
  </si>
  <si>
    <t>RE: Important : Bilan financier 2024-2025, point de vigilance et décision subventions 2026</t>
  </si>
  <si>
    <t>candidate-c19c354db073ec0f</t>
  </si>
  <si>
    <t>component-aac8a9c134197ea7</t>
  </si>
  <si>
    <t>DendauwP_19.pdf</t>
  </si>
  <si>
    <t>candidate-81551f88c52d416a</t>
  </si>
  <si>
    <t>component-719e40f3171b0c7d</t>
  </si>
  <si>
    <t>Votre nouveau mot de passe a bien été enregistré</t>
  </si>
  <si>
    <t>candidate-38d4c7e97bb368d5</t>
  </si>
  <si>
    <t>component-4b070d9836a520b9</t>
  </si>
  <si>
    <t>Re: Voitures - Transport</t>
  </si>
  <si>
    <t>candidate-5151b145681198af</t>
  </si>
  <si>
    <t>component-fe1ba499bdc02c0f</t>
  </si>
  <si>
    <t>[SE NANTES] 2021-06-29_AVISERV _ Icam - Soutenance Industrielle.pdf</t>
  </si>
  <si>
    <t>candidate-bfb89a50b4477df8</t>
  </si>
  <si>
    <t>component-b3224139b6dca83f</t>
  </si>
  <si>
    <t>Fwd: Bulletins de paie - Septembre 2020 - Dossier 023424</t>
  </si>
  <si>
    <t>candidate-4878f326b54960ff</t>
  </si>
  <si>
    <t>component-2db257b3b8947d14</t>
  </si>
  <si>
    <t>candidate-4734a3aaceec87ef</t>
  </si>
  <si>
    <t>component-64c0e94952c75093</t>
  </si>
  <si>
    <t>Votre message a bien été reçu - (Message depuis milkywan.fr de Eloi Primaux)</t>
  </si>
  <si>
    <t>candidate-a21cba11d258d29e</t>
  </si>
  <si>
    <t>component-0e547c5be964fe49</t>
  </si>
  <si>
    <t>Re: Dates et organisation des chasses sur Pommerieux</t>
  </si>
  <si>
    <t>candidate-9e9b9d8356679853</t>
  </si>
  <si>
    <t>component-95d692034a8a3a2e</t>
  </si>
  <si>
    <t>Facture</t>
  </si>
  <si>
    <t>candidate-8f541a6375ff42fd</t>
  </si>
  <si>
    <t>component-9d7435e61a87be17</t>
  </si>
  <si>
    <t>CIR Dossier Technique CVGR 2017.docx</t>
  </si>
  <si>
    <t>candidate-c61a4d3f15d34401</t>
  </si>
  <si>
    <t>component-3c5f3f05b35114dc</t>
  </si>
  <si>
    <t>FR65863775.pdf</t>
  </si>
  <si>
    <t>candidate-b5d5b15a8a5d0238</t>
  </si>
  <si>
    <t>component-2242bf7450cf1267</t>
  </si>
  <si>
    <t>NOFU - projet en concurrence poste Lamotte Beuvron</t>
  </si>
  <si>
    <t>candidate-33059d52ff12bb63</t>
  </si>
  <si>
    <t>component-22726b66f06c5ebc</t>
  </si>
  <si>
    <t>Re: SELARLD CLINIQUE VETERINAIRE DU GRAND RENAUD</t>
  </si>
  <si>
    <t>candidate-72620b0646be76ae</t>
  </si>
  <si>
    <t>component-af93e436da910872</t>
  </si>
  <si>
    <t>CR_Ateliers 28.06.docx</t>
  </si>
  <si>
    <t>candidate-1af731e81df5abc4</t>
  </si>
  <si>
    <t>component-1fa8ed35a78138ef</t>
  </si>
  <si>
    <t>Re: KM-300 flail rotor and v-belts mounting</t>
  </si>
  <si>
    <t>candidate-db28c2fb335134ff</t>
  </si>
  <si>
    <t>component-d2295c2c64b6144c</t>
  </si>
  <si>
    <t>2016.05.10 0374-CNRS-SKCa_CI.docx</t>
  </si>
  <si>
    <t>candidate-a5a27cb195ce40cc</t>
  </si>
  <si>
    <t>component-154db2ba6a389b9e</t>
  </si>
  <si>
    <t>FR63273721.pdf</t>
  </si>
  <si>
    <t>candidate-b67c9ca3a71a6962</t>
  </si>
  <si>
    <t>component-e60363b59ea0d9ac</t>
  </si>
  <si>
    <t>Rappel : 26/11/25 - CAD de 8h à 9H + réunion de Bureau à 10H30</t>
  </si>
  <si>
    <t>candidate-87dd4b083669dee4</t>
  </si>
  <si>
    <t>component-23379eed206b127c</t>
  </si>
  <si>
    <t>Re: Compte-rendu réunion GT structuration du 18 avril 2023</t>
  </si>
  <si>
    <t>candidate-233f5b2252ba699b</t>
  </si>
  <si>
    <t>component-f5176ec032fe0624</t>
  </si>
  <si>
    <t>Cotations céréales barbary au 29/07/19 à 20 h  + offre d'outils de conservation du grain</t>
  </si>
  <si>
    <t>candidate-47e4a8c4ad8cf988</t>
  </si>
  <si>
    <t>component-968fd59365aef6dd</t>
  </si>
  <si>
    <t>EARL FERME DE POMMERIEUX</t>
  </si>
  <si>
    <t>candidate-189bfafac933105c</t>
  </si>
  <si>
    <t>component-2bdd2e846ea1362b</t>
  </si>
  <si>
    <t>Projet Poches gutturales CB 17012022.docx</t>
  </si>
  <si>
    <t>candidate-5e90c1b064ba652d</t>
  </si>
  <si>
    <t>component-d2949ad5aa38c4c2</t>
  </si>
  <si>
    <t>Préparation à la prochaine mandature - important</t>
  </si>
  <si>
    <t>candidate-991bb392723d4a7a</t>
  </si>
  <si>
    <t>component-0b3a251a55e31125</t>
  </si>
  <si>
    <t>Votre facture de février 2015 est disponible</t>
  </si>
  <si>
    <t>candidate-7daae41aead191cd</t>
  </si>
  <si>
    <t>component-347358acc44cc67d</t>
  </si>
  <si>
    <t>Demande envoyée à l'établissement B&amp;B HOTEL Poitiers 1 Futuroscope</t>
  </si>
  <si>
    <t>candidate-55f199ae9a291e6a</t>
  </si>
  <si>
    <t>component-d2f1c6d177c82542</t>
  </si>
  <si>
    <t>RE: DT CIR 2014</t>
  </si>
  <si>
    <t>candidate-f2c4275a4bf0e3fa</t>
  </si>
  <si>
    <t>component-1eb6f5b463ccd2d5</t>
  </si>
  <si>
    <t>Facture_EDF_10256948798.pdf</t>
  </si>
  <si>
    <t>candidate-f9880ab508f2cd48</t>
  </si>
  <si>
    <t>component-f2ed2335971f10ab</t>
  </si>
  <si>
    <t>Re: 2211 modifié</t>
  </si>
  <si>
    <t>candidate-9b190db37e900a31</t>
  </si>
  <si>
    <t>component-bd3f261c98365161</t>
  </si>
  <si>
    <t>CIR Dossier Technique CVGR 2013  08062014.docx</t>
  </si>
  <si>
    <t>candidate-e42ad5a18bf3cc07</t>
  </si>
  <si>
    <t>component-3dd494026d5598dc</t>
  </si>
  <si>
    <t>Documentation 2018</t>
  </si>
  <si>
    <t>candidate-82f28285346a5b2a</t>
  </si>
  <si>
    <t>component-be84c9b09131b103</t>
  </si>
  <si>
    <t>Newsletter agriculture #2 - Juin 2018</t>
  </si>
  <si>
    <t>candidate-0940c3a8d190c621</t>
  </si>
  <si>
    <t>component-9656ee324091ae36</t>
  </si>
  <si>
    <t>📆 L'automne : LA saison des canards  🦆</t>
  </si>
  <si>
    <t>candidate-076e4d5bd83e9752</t>
  </si>
  <si>
    <t>component-58dd0fe829d2005e</t>
  </si>
  <si>
    <t>Re:</t>
  </si>
  <si>
    <t>candidate-3dbe362c3ca081f2</t>
  </si>
  <si>
    <t>component-b90477890a358bcd</t>
  </si>
  <si>
    <t>RE: Groupe de travail " Cahier des charges"</t>
  </si>
  <si>
    <t>candidate-30275b692ca291c7</t>
  </si>
  <si>
    <t>component-2fedb80d56261d81</t>
  </si>
  <si>
    <t>Re: CIR 2025</t>
  </si>
  <si>
    <t>candidate-848679a5f2583f66</t>
  </si>
  <si>
    <t>component-722cf44faa9cc976</t>
  </si>
  <si>
    <t>candidate-7e741d1e65bd97e8</t>
  </si>
  <si>
    <t>component-a944c055d2d47974</t>
  </si>
  <si>
    <t>FCO 3 et MHE .pdf</t>
  </si>
  <si>
    <t>candidate-a65f2be770030087</t>
  </si>
  <si>
    <t>component-09dac0822cb88802</t>
  </si>
  <si>
    <t>Facture_EDF_10256952555.pdf</t>
  </si>
  <si>
    <t>candidate-a254e0c532f163dc</t>
  </si>
  <si>
    <t>component-272053b89239ba91</t>
  </si>
  <si>
    <t>conformité GFR + SCI</t>
  </si>
  <si>
    <t>candidate-25082e1bafd1d4ba</t>
  </si>
  <si>
    <t>component-0018d37f3ef07b82</t>
  </si>
  <si>
    <t>Fwd: informations et date à retenir</t>
  </si>
  <si>
    <t>candidate-1a7268bc81f5fe13</t>
  </si>
  <si>
    <t>component-5b572ce9c264435e</t>
  </si>
  <si>
    <t>RE: NOFU - mémoire en réponse enquête publique</t>
  </si>
  <si>
    <t>candidate-33b2af2100f3dd0f</t>
  </si>
  <si>
    <t>component-70b19e290508aff5</t>
  </si>
  <si>
    <t>Votre avis sur les 200 Go offerts sur votre mobile</t>
  </si>
  <si>
    <t>candidate-4d5c4ba73ac2f2dd</t>
  </si>
  <si>
    <t>component-79848d420a83be2f</t>
  </si>
  <si>
    <t>CIR 2021 - réponse Affaire 2022XDF918 suite demande du 21072022.pdf</t>
  </si>
  <si>
    <t>candidate-ccd905309f64f7ac</t>
  </si>
  <si>
    <t>component-bb9164170cf71392</t>
  </si>
  <si>
    <t>Lettre d'information</t>
  </si>
  <si>
    <t>candidate-e32f02b09a416bf5</t>
  </si>
  <si>
    <t>component-aab3f0c96e8bb4b8</t>
  </si>
  <si>
    <t>TR: Classification RUIN</t>
  </si>
  <si>
    <t>candidate-47fef4ad3d981af7</t>
  </si>
  <si>
    <t>component-8727adb25a0723e9</t>
  </si>
  <si>
    <t>Diplômes CVGR 2013.pdf</t>
  </si>
  <si>
    <t>candidate-dffa38d92928aab7</t>
  </si>
  <si>
    <t>component-19c73a48b6ebd050</t>
  </si>
  <si>
    <t>candidate-60e58b0ec79151f4</t>
  </si>
  <si>
    <t>component-7cd09e617dfcce1b</t>
  </si>
  <si>
    <t>FR65863789.pdf</t>
  </si>
  <si>
    <t>candidate-66fb1b67f72a8cfe</t>
  </si>
  <si>
    <t>component-7bbbdc1bd00a68cb</t>
  </si>
  <si>
    <t>Re: Suite Vente du 27 Mars 2023</t>
  </si>
  <si>
    <t>candidate-d591c7eaa4b41c1a</t>
  </si>
  <si>
    <t>component-ba661a3f14e857db</t>
  </si>
  <si>
    <t>Re: AG du syndicat "Agneau de Sologne"</t>
  </si>
  <si>
    <t>candidate-4a5d1f61a8e203cf</t>
  </si>
  <si>
    <t>component-2cdbd1a78adab052</t>
  </si>
  <si>
    <t>mail--90455ebd4741.eml</t>
  </si>
  <si>
    <t>candidate-a12fc8d34735dff8</t>
  </si>
  <si>
    <t>component-0b24eb803f4d5a3d</t>
  </si>
  <si>
    <t>Justificatif d'achat.pdf</t>
  </si>
  <si>
    <t>candidate-aa54035060f6688e</t>
  </si>
  <si>
    <t>component-9f2c77535ab05416</t>
  </si>
  <si>
    <t>darty_contrat_de_confiance.pdf</t>
  </si>
  <si>
    <t>document_id</t>
  </si>
  <si>
    <t>occurrence_id</t>
  </si>
  <si>
    <t>source_entity_id</t>
  </si>
  <si>
    <t>Stage</t>
  </si>
  <si>
    <t>Qrel</t>
  </si>
  <si>
    <t>Topic version</t>
  </si>
  <si>
    <t>candidate-01ee157930de3f7a</t>
  </si>
  <si>
    <t>component-a5789887715fbae4</t>
  </si>
  <si>
    <t>W71cBWqeJvUqloI4RYJAsEE8</t>
  </si>
  <si>
    <t>urn:openrag:openarchiver:attachment:24626b2d-0ba5-454b-bca7-b442f893f616</t>
  </si>
  <si>
    <t>Plaquette-services-2020.pdf</t>
  </si>
  <si>
    <t>document-review-stage-1</t>
  </si>
  <si>
    <t>orange-fibre-GT2-revue-a-faire.xlsx</t>
  </si>
  <si>
    <t>orange-fibre-cross-domain-v1</t>
  </si>
  <si>
    <t>candidate-02591b139bd4e9ec</t>
  </si>
  <si>
    <t>component-3f70110c8f320fb1</t>
  </si>
  <si>
    <t>ZbKXfIzioK6BDK7tV2hw7KpQ</t>
  </si>
  <si>
    <t>urn:openrag:openarchiver:attachment:21430b58-18cf-4e22-b960-d2d51785aa26</t>
  </si>
  <si>
    <t>2024-03-CharteNutriscore-FR.pdf</t>
  </si>
  <si>
    <t>candidate-04ab942740fd9890</t>
  </si>
  <si>
    <t>component-fe87c27fe64ba8d7</t>
  </si>
  <si>
    <t>i4Je_Vg1Dtwvf6kEuu2heDtB</t>
  </si>
  <si>
    <t>urn:openrag:openarchiver:email:6ca4c5b5-3440-4c50-8666-cecfa25916d5:da066a69-f964-4fb0-8467-724eb773aa90</t>
  </si>
  <si>
    <t>Et si vous passiez chez Sosh pour votre abonnement internet ?</t>
  </si>
  <si>
    <t>Revue prioritaire</t>
  </si>
  <si>
    <t>candidate-04f7067475155ff0</t>
  </si>
  <si>
    <t>7bALVPDLraISmbCejh_CID3O</t>
  </si>
  <si>
    <t>urn:openrag:openarchiver:email:9e325a3e-b01f-40bf-8890-b400d4e3d7f4:63bed4ff-6378-4770-a39d-f28341a4d710</t>
  </si>
  <si>
    <t>candidate-05ca9c7ce94beaf0</t>
  </si>
  <si>
    <t>tBcBBUah5x4sYnlZfPJKcXCe</t>
  </si>
  <si>
    <t>urn:openrag:openarchiver:attachment:66222fa3-7cd6-4ddb-9fd5-625772bca698</t>
  </si>
  <si>
    <t>20250713_Tax Invoice_402-7509149-8560327.pdf</t>
  </si>
  <si>
    <t>candidate-06a44f3f336c2c52</t>
  </si>
  <si>
    <t>component-173f0e2e7fb253d9</t>
  </si>
  <si>
    <t>eHeqUx5cvdufCsY3PHJdea7K</t>
  </si>
  <si>
    <t>urn:openrag:openarchiver:email:9e325a3e-b01f-40bf-8890-b400d4e3d7f4:bd1620f6-fbf1-4a7a-b61b-af726fbb5788</t>
  </si>
  <si>
    <t>Votre demande d'offre fibre professionnel - EARL FERME DE POMMERIEUX</t>
  </si>
  <si>
    <t>QaNjdPAwpO3UMQZF_4wWtKtS</t>
  </si>
  <si>
    <t>urn:openrag:openarchiver:email:9e325a3e-b01f-40bf-8890-b400d4e3d7f4:b3fa72b5-5999-40e0-8aa0-68528caea5c9</t>
  </si>
  <si>
    <t>document-review-stage-2</t>
  </si>
  <si>
    <t>candidate-0935403a6e5df7c7</t>
  </si>
  <si>
    <t>component-c4945f0532927cf4</t>
  </si>
  <si>
    <t>93isKmmDlaw3Sjqk-e4FIf9F</t>
  </si>
  <si>
    <t>urn:openrag:openarchiver:email:6ca4c5b5-3440-4c50-8666-cecfa25916d5:5aab4cfe-98f4-439a-94c3-229199ff9fc6</t>
  </si>
  <si>
    <t>Votre derni?re facture Bouygues Telecom est disponible</t>
  </si>
  <si>
    <t>8melJujQoSokzufN_BRQLkVj</t>
  </si>
  <si>
    <t>urn:openrag:openarchiver:email:9e325a3e-b01f-40bf-8890-b400d4e3d7f4:b168c0a0-2822-4831-8dc1-caafafc877c3</t>
  </si>
  <si>
    <t>candidate-097f0df128f6be00</t>
  </si>
  <si>
    <t>component-d1edbc8f9531a7c7</t>
  </si>
  <si>
    <t>PL0LgwTlPeWVKG0XlzAXbvH8</t>
  </si>
  <si>
    <t>urn:openrag:openarchiver:email:9e325a3e-b01f-40bf-8890-b400d4e3d7f4:798f59e5-f997-4bdc-90e2-599517be6f4c</t>
  </si>
  <si>
    <t>Suite échange GIEE émergent photovoltaïque au sol  et Indre Nature</t>
  </si>
  <si>
    <t>candidate-0b1c7923d88f53d8</t>
  </si>
  <si>
    <t>component-2ee43b915ec7376f</t>
  </si>
  <si>
    <t>zzNDXF6D2biN8UckhXvJUkiU</t>
  </si>
  <si>
    <t>urn:openrag:openarchiver:email:6ca4c5b5-3440-4c50-8666-cecfa25916d5:58bb328f-91e6-43dc-a575-494604bbb1b4</t>
  </si>
  <si>
    <t>Suivez votre demande en ligne</t>
  </si>
  <si>
    <t>candidate-0b1fc7a6fced0a41</t>
  </si>
  <si>
    <t>-SI0CZZxxJ_mu1jw5ED_-uS6</t>
  </si>
  <si>
    <t>urn:openrag:openarchiver:attachment:3ace1ba8-1223-4da3-8e15-81a7d573a33c</t>
  </si>
  <si>
    <t>Facture_Free_202605_34171985_1470716691.pdf</t>
  </si>
  <si>
    <t>candidate-0ebddadc27b6f912</t>
  </si>
  <si>
    <t>UcsAdALgeunudXRO2Xvrj4Ao</t>
  </si>
  <si>
    <t>urn:openrag:openarchiver:attachment:1217ccba-b104-4068-8eaf-fbd82205b65a</t>
  </si>
  <si>
    <t>export etat documentation.xlsx</t>
  </si>
  <si>
    <t>candidate-104995609aa18e85</t>
  </si>
  <si>
    <t>component-b6d63a6db4c6ea5b</t>
  </si>
  <si>
    <t>YtuV4vNfzIUocruoXTCnx1hh</t>
  </si>
  <si>
    <t>urn:openrag:openarchiver:email:6ca4c5b5-3440-4c50-8666-cecfa25916d5:a1b0ac03-e51c-449d-b9ef-f8ed92adae56</t>
  </si>
  <si>
    <t>Votre facture est arrivée</t>
  </si>
  <si>
    <t>candidate-10e04e83d1114b63</t>
  </si>
  <si>
    <t>component-e07e60b365fbd87c</t>
  </si>
  <si>
    <t>w9LdEBOaVEOvHR1-nsj1CsT8</t>
  </si>
  <si>
    <t>urn:openrag:openarchiver:email:9e325a3e-b01f-40bf-8890-b400d4e3d7f4:3ba71052-4a32-433b-8848-a37586ee6e73</t>
  </si>
  <si>
    <t>Eloi Primaux, - Profitez d'une connexion internet en haut débit avec la Fibre Bouygues Telecom !</t>
  </si>
  <si>
    <t>candidate-11c084327efe9a8e</t>
  </si>
  <si>
    <t>component-942b7d574d97b130</t>
  </si>
  <si>
    <t>6u9Uu5eFO0RppLBZX2RexA6L</t>
  </si>
  <si>
    <t>urn:openrag:openarchiver:attachment:43fc38ef-d947-4569-828f-d48b119ac2bb</t>
  </si>
  <si>
    <t>251114-facture_9073083280_2025-11-04.pdf</t>
  </si>
  <si>
    <t>candidate-12980db9649bc91f</t>
  </si>
  <si>
    <t>component-08c3c86d0aadfb1d</t>
  </si>
  <si>
    <t>buJXYG3Rubp8b3saczen0G0W</t>
  </si>
  <si>
    <t>urn:openrag:openarchiver:attachment:14c52838-c53f-4329-b6f3-b500852321d5</t>
  </si>
  <si>
    <t>Facture_Free_202505_34171985_1380736307.pdf</t>
  </si>
  <si>
    <t>candidate-15abc8c6f7f1a043</t>
  </si>
  <si>
    <t>component-ef24a43c9ea901d8</t>
  </si>
  <si>
    <t>riyTDYSXwWP8buMFhovZ7HzO</t>
  </si>
  <si>
    <t>urn:openrag:openarchiver:email:6ca4c5b5-3440-4c50-8666-cecfa25916d5:47d56552-0188-43f5-ad1f-035d4b8d5431</t>
  </si>
  <si>
    <t>candidate-15c5e1990f1de28e</t>
  </si>
  <si>
    <t>component-99a59c7264b7289c</t>
  </si>
  <si>
    <t>vijVvjt-s15X2SnYkpxjsmQ-</t>
  </si>
  <si>
    <t>urn:openrag:openarchiver:attachment:19364590-d1ce-436a-bec7-3a48262ed43b</t>
  </si>
  <si>
    <t>message.html</t>
  </si>
  <si>
    <t>candidate-16d4efa4f383ea12</t>
  </si>
  <si>
    <t>q41PSwMcmX5fRWq69kYNZkl0</t>
  </si>
  <si>
    <t>urn:openrag:openarchiver:attachment:78019d5b-0429-4487-81f2-d5d31f284e59</t>
  </si>
  <si>
    <t>20250113_Tax Invoice_404-9060307-7080342.pdf</t>
  </si>
  <si>
    <t>AMMUb-rRWTEpzTEXaMpdQxZ7</t>
  </si>
  <si>
    <t>urn:openrag:openarchiver:attachment:083a4ce0-159f-4bda-a2eb-11941043699f</t>
  </si>
  <si>
    <t>candidate-1909f72e842184a8</t>
  </si>
  <si>
    <t>component-83ff3fa21792ae68</t>
  </si>
  <si>
    <t>gURtuxIHMkvwwHFx4U4_BP41</t>
  </si>
  <si>
    <t>urn:openrag:openarchiver:attachment:1beef0e1-6d76-4224-994d-1f9ddcc2a1fa</t>
  </si>
  <si>
    <t>facture_9073083280_2025-03-04.pdf</t>
  </si>
  <si>
    <t>candidate-190ac51361b04873</t>
  </si>
  <si>
    <t>component-e1f103ce76fab65f</t>
  </si>
  <si>
    <t>xsCC902ueZ4hhBtUvCsZ12qE</t>
  </si>
  <si>
    <t>urn:openrag:openarchiver:email:6ca4c5b5-3440-4c50-8666-cecfa25916d5:af41d442-efd6-4f17-9bc9-c8d18269ae8e</t>
  </si>
  <si>
    <t>RE: SIG - WISEARCH</t>
  </si>
  <si>
    <t>candidate-19a8f456c80118a9</t>
  </si>
  <si>
    <t>component-77eb513bad0fd5e5</t>
  </si>
  <si>
    <t>sTiUR4bLgh_LYAHnGL9oadCm</t>
  </si>
  <si>
    <t>urn:openrag:openarchiver:email:9e325a3e-b01f-40bf-8890-b400d4e3d7f4:6af5fd05-6e46-426a-bb56-3174d113e27a</t>
  </si>
  <si>
    <t>mail--6af5fd056e46.eml</t>
  </si>
  <si>
    <t>candidate-19cb0dd792265795</t>
  </si>
  <si>
    <t>component-389f378a55665929</t>
  </si>
  <si>
    <t>R1t9EpMzso2cvf2wwErM00v_</t>
  </si>
  <si>
    <t>urn:openrag:openarchiver:email:6ca4c5b5-3440-4c50-8666-cecfa25916d5:1cf1b232-b1fa-4798-bc98-b3e09c780a6d</t>
  </si>
  <si>
    <t>Envoi duplicata de facture par mail</t>
  </si>
  <si>
    <t>y0_xi5MiEjSyUT78bJ_fYSM6</t>
  </si>
  <si>
    <t>urn:openrag:openarchiver:email:9e325a3e-b01f-40bf-8890-b400d4e3d7f4:52403edf-153b-4fa3-9bb6-46ca44bab3cf</t>
  </si>
  <si>
    <t>XMV4IIdfLiVMX1glSJNJTjOM</t>
  </si>
  <si>
    <t>urn:openrag:openarchiver:email:9e325a3e-b01f-40bf-8890-b400d4e3d7f4:bff14f46-7cd8-46b1-b5c0-83a874f368f7</t>
  </si>
  <si>
    <t>candidate-1b36c378747fef63</t>
  </si>
  <si>
    <t>component-560765fa22ac634c</t>
  </si>
  <si>
    <t>4uc-EVxv3LvMw-sj3jdnfnqt</t>
  </si>
  <si>
    <t>urn:openrag:openarchiver:email:6ca4c5b5-3440-4c50-8666-cecfa25916d5:b1c26da9-cfe8-4ccd-8cf4-7f710c4f9564</t>
  </si>
  <si>
    <t>Donnez votre avis sur l'assistance Sosh</t>
  </si>
  <si>
    <t>candidate-1ba14d0786782bea</t>
  </si>
  <si>
    <t>component-c96620399994b7c1</t>
  </si>
  <si>
    <t>dozt5DGtvFEMOpnEwy1fqjOz</t>
  </si>
  <si>
    <t>urn:openrag:openarchiver:email:6ca4c5b5-3440-4c50-8666-cecfa25916d5:43572216-b253-48f8-968d-a011c3acbb78</t>
  </si>
  <si>
    <t>Confirmation de votre commande.</t>
  </si>
  <si>
    <t>candidate-1e61abe39e9301b0</t>
  </si>
  <si>
    <t>component-9be67f0c1beab356</t>
  </si>
  <si>
    <t>GFaZQM5lOFiNTQc1JvO7IGdf</t>
  </si>
  <si>
    <t>urn:openrag:openarchiver:email:9e325a3e-b01f-40bf-8890-b400d4e3d7f4:08c636c5-db30-4acb-afce-2e0b02b3aa0d</t>
  </si>
  <si>
    <t>RE: Proposition de partenariat pour hébergement de nœud télécom à Nouan-le-Fuzelier</t>
  </si>
  <si>
    <t>candidate-1f8d6e7eb24be24d</t>
  </si>
  <si>
    <t>component-858b4d09b94d2913</t>
  </si>
  <si>
    <t>1XKJD0nI-vYHT3eW8k7e97CP</t>
  </si>
  <si>
    <t>urn:openrag:openarchiver:email:6ca4c5b5-3440-4c50-8666-cecfa25916d5:f1dec6ee-d5c8-4214-8903-69941695c086</t>
  </si>
  <si>
    <t>candidate-214c100151c818c6</t>
  </si>
  <si>
    <t>5jnFmB4xSTPqO2LdvwrCj_DP</t>
  </si>
  <si>
    <t>urn:openrag:openarchiver:email:6ca4c5b5-3440-4c50-8666-cecfa25916d5:e1b517bb-541f-498b-92cf-d5c024daf929</t>
  </si>
  <si>
    <t>Bienvenue chez Sosh</t>
  </si>
  <si>
    <t>candidate-218ce7276a57bed2</t>
  </si>
  <si>
    <t>component-0b2a36fcee030cc6</t>
  </si>
  <si>
    <t>wgqjisfeTiAAGJHgb3fH6EsN</t>
  </si>
  <si>
    <t>urn:openrag:openarchiver:email:6ca4c5b5-3440-4c50-8666-cecfa25916d5:3cfeac08-2388-4532-b991-66dab472e25e</t>
  </si>
  <si>
    <t>Confirmation pour votre voyage ORLEANS - POITIERS, aller le 24 déc.</t>
  </si>
  <si>
    <t>U2yx6HYOSwZcjEr2GEaSFt5A</t>
  </si>
  <si>
    <t>urn:openrag:openarchiver:email:9e325a3e-b01f-40bf-8890-b400d4e3d7f4:9c67ab25-979b-43f8-affc-6f335f390f6e</t>
  </si>
  <si>
    <t>candidate-2381a0bdf86496df</t>
  </si>
  <si>
    <t>component-efbb7415d915fd0a</t>
  </si>
  <si>
    <t>T0A67hKvdOe6mAQOHfihuP_G</t>
  </si>
  <si>
    <t>urn:openrag:openarchiver:attachment:55625ed9-3dc6-4dc4-9b0b-c10c482ff420</t>
  </si>
  <si>
    <t>Projet Lameness Locator.pdf</t>
  </si>
  <si>
    <t>candidate-2387a0a6a67fea0a</t>
  </si>
  <si>
    <t>component-ef66a0b06b4ca063</t>
  </si>
  <si>
    <t>X9f5mQw1-5oP595wdwyIS1jn</t>
  </si>
  <si>
    <t>urn:openrag:openarchiver:email:9e325a3e-b01f-40bf-8890-b400d4e3d7f4:0274eb62-83e1-45ea-b9bd-1cea950a6cc8</t>
  </si>
  <si>
    <t>Votre résiliation en cours</t>
  </si>
  <si>
    <t>candidate-2477f8482a1021f9</t>
  </si>
  <si>
    <t>component-08ebb40763b54c0d</t>
  </si>
  <si>
    <t>RR3UKsqWvrH0hzMGcPtBZfjP</t>
  </si>
  <si>
    <t>urn:openrag:openarchiver:email:6ca4c5b5-3440-4c50-8666-cecfa25916d5:1531a40d-f2d3-4977-b88d-8a162b43ba0c</t>
  </si>
  <si>
    <t>Aide financière de l'Etat - dispositif Cohésion Numérique des Territoires*</t>
  </si>
  <si>
    <t>candidate-24c0d2c44ec652a3</t>
  </si>
  <si>
    <t>component-5690d68890cdd9df</t>
  </si>
  <si>
    <t>r7gHjDTccf7xcB7VnqQWGX2D</t>
  </si>
  <si>
    <t>urn:openrag:openarchiver:attachment:028d52cd-0fc9-4f5f-be70-17e31cfde9eb</t>
  </si>
  <si>
    <t>CAPa et BAC. PRO. - Fiche contact structure.pdf</t>
  </si>
  <si>
    <t>dCSr5n0BExjEogZvtXFr7W_I</t>
  </si>
  <si>
    <t>urn:openrag:openarchiver:email:9e325a3e-b01f-40bf-8890-b400d4e3d7f4:45c333aa-eca2-4ca2-a986-87b65a1db578</t>
  </si>
  <si>
    <t>candidate-252b6e3d82065a4d</t>
  </si>
  <si>
    <t>PiPHlLZgLYeUzZSoCTsnEJ15</t>
  </si>
  <si>
    <t>urn:openrag:openarchiver:email:9e325a3e-b01f-40bf-8890-b400d4e3d7f4:80810018-0a1d-4a62-9e1a-c881ad1fa1ca</t>
  </si>
  <si>
    <t>Tableau calcul coût de revient-Agneaux de Sologne-Pour Lundi 16 octobre</t>
  </si>
  <si>
    <t>candidate-265f88976d2f3030</t>
  </si>
  <si>
    <t>component-98e66afd225c8265</t>
  </si>
  <si>
    <t>VX1mSods0fnteZmXtc0JM_0d</t>
  </si>
  <si>
    <t>urn:openrag:openarchiver:email:6ca4c5b5-3440-4c50-8666-cecfa25916d5:4b60a56d-8496-4d59-b9b0-894eff1b62e0</t>
  </si>
  <si>
    <t>candidate-26dc122ee17d052a</t>
  </si>
  <si>
    <t>component-2811b329a335c3c9</t>
  </si>
  <si>
    <t>EG53HnrKlT_i88DumJK0ib5W</t>
  </si>
  <si>
    <t>urn:openrag:openarchiver:email:6ca4c5b5-3440-4c50-8666-cecfa25916d5:7189b77d-ed1f-43e5-9f02-e70197562f47</t>
  </si>
  <si>
    <t>Votre facture est arrrivée</t>
  </si>
  <si>
    <t>candidate-26f86f6d7bbc4d32</t>
  </si>
  <si>
    <t>component-3192de2f04c07787</t>
  </si>
  <si>
    <t>BNszu7HxKSNjhg3gsxRvj7Gq</t>
  </si>
  <si>
    <t>urn:openrag:openarchiver:email:9e325a3e-b01f-40bf-8890-b400d4e3d7f4:d3121fe0-f5cb-4b13-b80f-344f9cf800d0</t>
  </si>
  <si>
    <t>Mont Evray prêt à usage EARL FERME DE POMEMRIEUX</t>
  </si>
  <si>
    <t>candidate-276009b1c9d4a870</t>
  </si>
  <si>
    <t>component-92d9d0765bbbbd08</t>
  </si>
  <si>
    <t>5z6M2ej13l6fOZ9eWK9qXSu5</t>
  </si>
  <si>
    <t>urn:openrag:openarchiver:attachment:51f2ae22-3543-4c64-89ef-5b425645e432</t>
  </si>
  <si>
    <t>2021-Clinique Vétérinaire du Grand Renaud-VP.DOCX</t>
  </si>
  <si>
    <t>dPwJGiddmmpsK8WM1ZEQbXEb</t>
  </si>
  <si>
    <t>urn:openrag:openarchiver:email:9e325a3e-b01f-40bf-8890-b400d4e3d7f4:584c7354-271a-4695-bbe7-caa90bf13def</t>
  </si>
  <si>
    <t>candidate-283bb617d8c42e5e</t>
  </si>
  <si>
    <t>component-ebc96343544e57ca</t>
  </si>
  <si>
    <t>GypGOOSoExbye0JylnCnoxdG</t>
  </si>
  <si>
    <t>urn:openrag:openarchiver:email:6ca4c5b5-3440-4c50-8666-cecfa25916d5:e60c1f48-dd48-4462-9455-be28963e2f81</t>
  </si>
  <si>
    <t>Bon plan pour VOTRE budget Internet + téléphonie : plus de 150€ d'économies</t>
  </si>
  <si>
    <t>candidate-284d0df9d5697553</t>
  </si>
  <si>
    <t>component-6811f012f981916c</t>
  </si>
  <si>
    <t>pXIhXj9wRwFjLChzDcKwHrxk</t>
  </si>
  <si>
    <t>urn:openrag:openarchiver:attachment:2cafc15d-35f0-4965-9f63-742105555105</t>
  </si>
  <si>
    <t>Referents_SURETE_2023-2026.pdf</t>
  </si>
  <si>
    <t>candidate-29541f3465d23794</t>
  </si>
  <si>
    <t>sAQcRkZl_SFcXRFm0jlakdxY</t>
  </si>
  <si>
    <t>urn:openrag:openarchiver:attachment:2cf49b73-f16a-42f8-a017-e4472adb6856</t>
  </si>
  <si>
    <t>facture_9093277556_2023-10-04.pdf</t>
  </si>
  <si>
    <t>candidate-2a6eb0ed3aac3ec2</t>
  </si>
  <si>
    <t>component-1c6a1e3221f81eae</t>
  </si>
  <si>
    <t>aspDHMAgDWJW5qs3fVfal3dF</t>
  </si>
  <si>
    <t>urn:openrag:openarchiver:email:6ca4c5b5-3440-4c50-8666-cecfa25916d5:acf0a3de-9623-441a-9085-dc244a23079c</t>
  </si>
  <si>
    <t>Récapitulatif de notre offre</t>
  </si>
  <si>
    <t>candidate-2ab66670245551b5</t>
  </si>
  <si>
    <t>eAcXwsuJCEpYvuK-nh_oIdyt</t>
  </si>
  <si>
    <t>urn:openrag:openarchiver:attachment:50b89ad2-027f-4217-89b2-4b5c576f3faa</t>
  </si>
  <si>
    <t>250715-facture_9073083280_2025-07-04.pdf</t>
  </si>
  <si>
    <t>candidate-2b3304163fef20a3</t>
  </si>
  <si>
    <t>component-cbc3b2035af9c101</t>
  </si>
  <si>
    <t>lvuOCIzn5iA3Q-GgP9nposwX</t>
  </si>
  <si>
    <t>urn:openrag:openarchiver:attachment:75fae8a3-acc7-41c3-ac3d-02c87be313cd</t>
  </si>
  <si>
    <t>CGV_FORFAIT_hors_opt_20240130.pdf</t>
  </si>
  <si>
    <t>candidate-2c381732f894d118</t>
  </si>
  <si>
    <t>component-0286285e575da151</t>
  </si>
  <si>
    <t>GqkBFyeL6ls8mB6OPLusnnO0</t>
  </si>
  <si>
    <t>urn:openrag:openarchiver:attachment:19660f41-e396-4cb4-bb98-49d04981174f</t>
  </si>
  <si>
    <t>Devis-investisseur 16 x 36.pdf</t>
  </si>
  <si>
    <t>candidate-2c7f56ec9e501610</t>
  </si>
  <si>
    <t>component-f52ae86c4a4372ff</t>
  </si>
  <si>
    <t>pgYLyVcbyXTj96xJuKdrCR8m</t>
  </si>
  <si>
    <t>urn:openrag:openarchiver:email:9e325a3e-b01f-40bf-8890-b400d4e3d7f4:e998c7c2-5655-4ae2-924b-f4c2054d3bde</t>
  </si>
  <si>
    <t>Re: Journée technique et échange GPE SOLOGNE ET AUBE</t>
  </si>
  <si>
    <t>candidate-2fd079c964ecdbcb</t>
  </si>
  <si>
    <t>component-22d043f15bdd420e</t>
  </si>
  <si>
    <t>h87RpCRa1VU93caflpJmZue_</t>
  </si>
  <si>
    <t>urn:openrag:openarchiver:email:6ca4c5b5-3440-4c50-8666-cecfa25916d5:55e1c878-b79a-47ee-a8ad-772dc5c26dcb</t>
  </si>
  <si>
    <t>Votre facture Internet est disponible</t>
  </si>
  <si>
    <t>candidate-2fd81165c1654008</t>
  </si>
  <si>
    <t>component-1c617559fb89f5ee</t>
  </si>
  <si>
    <t>bQB77gli0YKdb6aBOWjZjtt2</t>
  </si>
  <si>
    <t>urn:openrag:openarchiver:email:6ca4c5b5-3440-4c50-8666-cecfa25916d5:02b69f1e-97b3-4784-a06f-3cd9ac2e1494</t>
  </si>
  <si>
    <t>Z1zHUc-EFTo6EZrKEpvgoF-e</t>
  </si>
  <si>
    <t>urn:openrag:openarchiver:email:9e325a3e-b01f-40bf-8890-b400d4e3d7f4:a1f3126f-b76d-4f27-a875-56635cdb3fdc</t>
  </si>
  <si>
    <t>candidate-3055cc7cbcf13f6c</t>
  </si>
  <si>
    <t>component-002f714a6889c384</t>
  </si>
  <si>
    <t>dBuwveRayNzxoPGK5Skf1bF-</t>
  </si>
  <si>
    <t>urn:openrag:openarchiver:email:6ca4c5b5-3440-4c50-8666-cecfa25916d5:b99edfd8-a2ac-426f-be99-f0167ecd4b1e</t>
  </si>
  <si>
    <t>Votre bon de commande est arrivé, ELOI</t>
  </si>
  <si>
    <t>candidate-30c2593019e49d98</t>
  </si>
  <si>
    <t>component-b00dc1a64b77b578</t>
  </si>
  <si>
    <t>EVYvqXbPeS3LpsPkKpeSD01f</t>
  </si>
  <si>
    <t>urn:openrag:openarchiver:attachment:61a37d8b-d88b-4be0-8add-a7c1ec03743d</t>
  </si>
  <si>
    <t>facture_9073083280_2023-08-04.pdf</t>
  </si>
  <si>
    <t>candidate-310a4eb02561cb2f</t>
  </si>
  <si>
    <t>kN12z9xh_lKGlz4IL8rrhiFa</t>
  </si>
  <si>
    <t>urn:openrag:openarchiver:attachment:055c1014-e27a-469e-b796-42f2c78d41ce</t>
  </si>
  <si>
    <t>Facture #24VETODIAG_CII.pdf</t>
  </si>
  <si>
    <t>candidate-318a3920716144fd</t>
  </si>
  <si>
    <t>component-a9d52499f1573c8c</t>
  </si>
  <si>
    <t>oMD8sUXK9jEwWQiUYF_8Gb1O</t>
  </si>
  <si>
    <t>urn:openrag:openarchiver:email:6ca4c5b5-3440-4c50-8666-cecfa25916d5:065b1fb7-db9b-4f98-81a1-bedf2a78a638</t>
  </si>
  <si>
    <t>candidate-3223c08d19b7a046</t>
  </si>
  <si>
    <t>component-ec4083201b0d0e44</t>
  </si>
  <si>
    <t>E_OM6J9N1f4PgoB6Mrz6QFuq</t>
  </si>
  <si>
    <t>urn:openrag:openarchiver:attachment:01dc5f1d-4699-4467-a5db-8c6683917c43</t>
  </si>
  <si>
    <t>facture_9093277556_2024-02-05.pdf</t>
  </si>
  <si>
    <t>candidate-323a388497c4449f</t>
  </si>
  <si>
    <t>component-bb7e2dd7a9ca4712</t>
  </si>
  <si>
    <t>HjJSzYRDzB8zT-TU_XyrwX8Y</t>
  </si>
  <si>
    <t>urn:openrag:openarchiver:email:9e325a3e-b01f-40bf-8890-b400d4e3d7f4:55ecff24-00aa-45fd-a08b-85903d38ab90</t>
  </si>
  <si>
    <t>wLFnDL-QrER57YNTYg8nTEhV</t>
  </si>
  <si>
    <t>urn:openrag:openarchiver:email:6ca4c5b5-3440-4c50-8666-cecfa25916d5:5c9566d2-77c7-47d0-be6e-3ee833734eca</t>
  </si>
  <si>
    <t>EaW2_e-wZCOv6Muig5eZm58M</t>
  </si>
  <si>
    <t>urn:openrag:openarchiver:email:6ca4c5b5-3440-4c50-8666-cecfa25916d5:473a7639-410d-4365-9b9f-47addcc13d37</t>
  </si>
  <si>
    <t>candidate-348aa27e3733a3d7</t>
  </si>
  <si>
    <t>component-70a0351cf3841ade</t>
  </si>
  <si>
    <t>Q6isvMnbwr3nX6xv4XoJwRDf</t>
  </si>
  <si>
    <t>urn:openrag:openarchiver:attachment:1ec6a0e0-2e30-46fe-9ee2-0ea0d7c16eb1</t>
  </si>
  <si>
    <t>facture_9073083280_2023-09-04.pdf</t>
  </si>
  <si>
    <t>candidate-3584501e5e429f5c</t>
  </si>
  <si>
    <t>component-0c822a9a558e2cea</t>
  </si>
  <si>
    <t>TV2b9HJK60yLbQUpvTG8MCRH</t>
  </si>
  <si>
    <t>urn:openrag:openarchiver:email:9e325a3e-b01f-40bf-8890-b400d4e3d7f4:a635c7de-0f65-4b75-9e93-43f9aac54847</t>
  </si>
  <si>
    <t>candidate-3698cdeeea4e9728</t>
  </si>
  <si>
    <t>component-35d44546be74ed83</t>
  </si>
  <si>
    <t>JMHbRwKGxRl5Nd8q_-B6_r-S</t>
  </si>
  <si>
    <t>urn:openrag:openarchiver:email:6ca4c5b5-3440-4c50-8666-cecfa25916d5:ac0819c3-ce59-4a1b-9f13-4de72623935f</t>
  </si>
  <si>
    <t>-ilngcHuMULDQPXKxLuwrP8i</t>
  </si>
  <si>
    <t>urn:openrag:openarchiver:email:9e325a3e-b01f-40bf-8890-b400d4e3d7f4:689e5276-44c6-419e-86a2-8622dbc0729e</t>
  </si>
  <si>
    <t>candidate-3b75f1b2037ad01a</t>
  </si>
  <si>
    <t>Ba5TJHVWmS2PF8F7eeILKODr</t>
  </si>
  <si>
    <t>urn:openrag:openarchiver:attachment:25292769-c40b-4fcb-8f63-89677d43a281</t>
  </si>
  <si>
    <t>Facture_Free_202607_34171985_1485762842.pdf</t>
  </si>
  <si>
    <t>candidate-3be867836f20dfbe</t>
  </si>
  <si>
    <t>gI4ahEJqTfO0GTSPhoC1csgk</t>
  </si>
  <si>
    <t>urn:openrag:openarchiver:attachment:3d13fb19-41af-4a3f-a29d-3fa788cbaa19</t>
  </si>
  <si>
    <t>Thermométrie mobile.pdf</t>
  </si>
  <si>
    <t>candidate-3c123e843f35aac7</t>
  </si>
  <si>
    <t>component-c7b63483079e45fb</t>
  </si>
  <si>
    <t>g2AdXQmt915r8mnKuzOx-N2N</t>
  </si>
  <si>
    <t>urn:openrag:openarchiver:email:6ca4c5b5-3440-4c50-8666-cecfa25916d5:4a644abc-b533-45ca-b55f-9673370ee506</t>
  </si>
  <si>
    <t>Prise en compte de votre demande de résiliation de la ligne +33659390421</t>
  </si>
  <si>
    <t>candidate-3d38115c120ed6b5</t>
  </si>
  <si>
    <t>component-76cd5e6452b558a0</t>
  </si>
  <si>
    <t>e1rnyqE2WoleuMW2mJQKjQ6s</t>
  </si>
  <si>
    <t>urn:openrag:openarchiver:email:9e325a3e-b01f-40bf-8890-b400d4e3d7f4:01e8dd87-a0e1-4121-9d11-9a3bf1d53534</t>
  </si>
  <si>
    <t>[Free] Votre abonnement Freebox - Une intervention à votre domicile est nécessaire</t>
  </si>
  <si>
    <t>IKSS1SbIM2G5jF2Dv9cB1Tu2</t>
  </si>
  <si>
    <t>urn:openrag:openarchiver:email:9e325a3e-b01f-40bf-8890-b400d4e3d7f4:19a6cff2-c740-4711-9406-95288aa7b55f</t>
  </si>
  <si>
    <t>candidate-3eb31fda12dd44da</t>
  </si>
  <si>
    <t>component-a795c056044d70f8</t>
  </si>
  <si>
    <t>6OIk2k97fqv2BQLbFSmLMrJi</t>
  </si>
  <si>
    <t>urn:openrag:openarchiver:email:6ca4c5b5-3440-4c50-8666-cecfa25916d5:7d966388-6c44-4615-ad84-19f7d6c472db</t>
  </si>
  <si>
    <t>TR: DECLARATION IR 2023</t>
  </si>
  <si>
    <t>candidate-3f8e961615ee20ab</t>
  </si>
  <si>
    <t>component-bca2bede7b33ca76</t>
  </si>
  <si>
    <t>qc_PaOVNmCkRlfFQKEDvvLum</t>
  </si>
  <si>
    <t>urn:openrag:openarchiver:email:9e325a3e-b01f-40bf-8890-b400d4e3d7f4:3b0d91cb-57c3-429c-8276-eed039437d22</t>
  </si>
  <si>
    <t>Re: Agneau de Sologne: Mesures compensatoires agricoles</t>
  </si>
  <si>
    <t>candidate-3fea99af4a4575c9</t>
  </si>
  <si>
    <t>component-14b9aad383067b84</t>
  </si>
  <si>
    <t>gL4WUUjEk3qPnm-TdCSAKGnV</t>
  </si>
  <si>
    <t>urn:openrag:openarchiver:attachment:29d0c217-726a-49b1-886e-85b15c88f8e2</t>
  </si>
  <si>
    <t>023424-C1 plaquette 31.12.2021.pdf</t>
  </si>
  <si>
    <t>candidate-40ac6ed3cd8025e6</t>
  </si>
  <si>
    <t>component-bf7f963098d4f96d</t>
  </si>
  <si>
    <t>20AHyBIU_dI-8n5QD0wvIk5c</t>
  </si>
  <si>
    <t>urn:openrag:openarchiver:email:9e325a3e-b01f-40bf-8890-b400d4e3d7f4:875d7775-9cbb-42f8-9f97-f8eec3cf0db9</t>
  </si>
  <si>
    <t>candidate-40bba575fe598530</t>
  </si>
  <si>
    <t>component-797a348fa4269127</t>
  </si>
  <si>
    <t>mqUo6fjdTBxbYPayoGVBvOxD</t>
  </si>
  <si>
    <t>urn:openrag:openarchiver:attachment:124e92b9-cfd2-4045-9a35-f2ec1be1f786</t>
  </si>
  <si>
    <t>facture_9093277556_2023-06-05.pdf</t>
  </si>
  <si>
    <t>candidate-40f97c77f5629911</t>
  </si>
  <si>
    <t>component-af71a238590a341a</t>
  </si>
  <si>
    <t>wMKRGZs8qyz1_m6tL8DRw23P</t>
  </si>
  <si>
    <t>urn:openrag:openarchiver:email:9e325a3e-b01f-40bf-8890-b400d4e3d7f4:629ca1ce-425f-4e0f-a928-a4ba09e4ade7</t>
  </si>
  <si>
    <t>Vous sentez toutes ces bonnes idées dans l’air, Eloi ?</t>
  </si>
  <si>
    <t>candidate-416e608b2b1dda76</t>
  </si>
  <si>
    <t>component-aa303f44b4bb54c6</t>
  </si>
  <si>
    <t>ypGmucYeuEHdJgKAw8w8p5HT</t>
  </si>
  <si>
    <t>urn:openrag:openarchiver:attachment:61fcae19-0776-4d2f-9c99-6d2c33cbceb1</t>
  </si>
  <si>
    <t>facture_9073083280_2023-04-04.pdf</t>
  </si>
  <si>
    <t>candidate-43d57794e0a39bae</t>
  </si>
  <si>
    <t>component-2ef5b17c61ded60f</t>
  </si>
  <si>
    <t>bG3-cNVRBzWECpb7c4WGf9KV</t>
  </si>
  <si>
    <t>urn:openrag:openarchiver:email:6ca4c5b5-3440-4c50-8666-cecfa25916d5:f077cc99-c432-4cc2-ab35-6c5f1fca0a08</t>
  </si>
  <si>
    <t>Confirmation de votre intérêt pour la Fibre</t>
  </si>
  <si>
    <t>candidate-4587ad29304caa81</t>
  </si>
  <si>
    <t>eVk0CKuvIITxpNwdKuS3cjNp</t>
  </si>
  <si>
    <t>urn:openrag:openarchiver:attachment:630d171d-266b-4588-8376-d21cdf7f0c84</t>
  </si>
  <si>
    <t>Facture_Free_202512_34171985_1433775384.pdf</t>
  </si>
  <si>
    <t>candidate-46d92674aec2f10d</t>
  </si>
  <si>
    <t>component-3addd027f23027b8</t>
  </si>
  <si>
    <t>66DrxrjcKkP1bZimalAhO1Yj</t>
  </si>
  <si>
    <t>urn:openrag:openarchiver:email:6ca4c5b5-3440-4c50-8666-cecfa25916d5:b3448a3a-808e-42b3-b902-0b29d4882181</t>
  </si>
  <si>
    <t>aage-63Yg3VNjINpYX-3Tjq5</t>
  </si>
  <si>
    <t>urn:openrag:openarchiver:email:9e325a3e-b01f-40bf-8890-b400d4e3d7f4:6cba0396-e9af-4a97-92f7-292f5f03a022</t>
  </si>
  <si>
    <t>g4OTKTD3ewI6xNwmU3lrpBbu</t>
  </si>
  <si>
    <t>urn:openrag:openarchiver:email:9e325a3e-b01f-40bf-8890-b400d4e3d7f4:f0bf73eb-eb17-4ff3-b067-0aad66a129ee</t>
  </si>
  <si>
    <t>kSLvOi3RMl1zKK8gECaRdhXe</t>
  </si>
  <si>
    <t>urn:openrag:openarchiver:attachment:2af63978-d84c-491a-96ed-9bd09ec2a829</t>
  </si>
  <si>
    <t>Kw6gqD4WcZwO9T63S5uKSidz</t>
  </si>
  <si>
    <t>urn:openrag:openarchiver:email:6ca4c5b5-3440-4c50-8666-cecfa25916d5:10d1ee69-4111-4cc6-a450-aa71c991d94c</t>
  </si>
  <si>
    <t>candidate-488e965dfe91d5da</t>
  </si>
  <si>
    <t>component-defa6952bd91f9b3</t>
  </si>
  <si>
    <t>kfzTzR_s2ebJV09g08ZhNQoJ</t>
  </si>
  <si>
    <t>urn:openrag:openarchiver:attachment:1fde41c1-9fce-4e7c-81ec-82fc884957be</t>
  </si>
  <si>
    <t>candidate-48a7eb21558c40dd</t>
  </si>
  <si>
    <t>component-fd58e1d41566a04f</t>
  </si>
  <si>
    <t>uiaOkWEPWR0NQRfUOTCDYGnZ</t>
  </si>
  <si>
    <t>urn:openrag:openarchiver:email:9e325a3e-b01f-40bf-8890-b400d4e3d7f4:17e57430-27a8-434e-8497-c7f818069b3c</t>
  </si>
  <si>
    <t>[Free] Votre abonnement Freebox - Votre avis nous est précieux</t>
  </si>
  <si>
    <t>candidate-48c4b0656cd2aae0</t>
  </si>
  <si>
    <t>component-10ad7fac7272029c</t>
  </si>
  <si>
    <t>HM0YGdbuFCT81-fUQpnM4RKu</t>
  </si>
  <si>
    <t>urn:openrag:openarchiver:email:6ca4c5b5-3440-4c50-8666-cecfa25916d5:765aff9a-38a2-4e24-be5a-8b5eb4b62245</t>
  </si>
  <si>
    <t>Votre facture est disponible</t>
  </si>
  <si>
    <t>candidate-48d263543e955d3f</t>
  </si>
  <si>
    <t>component-68e57df30b135b95</t>
  </si>
  <si>
    <t>vSSyUQ-FcwONndTy-lDY1hc0</t>
  </si>
  <si>
    <t>urn:openrag:openarchiver:attachment:4f7749ab-bb3a-45f3-8995-c1604cadbe4a</t>
  </si>
  <si>
    <t>NotificationFacture.html</t>
  </si>
  <si>
    <t>MI5jGndb49SCLmpyBri2Rj0F</t>
  </si>
  <si>
    <t>urn:openrag:openarchiver:email:9e325a3e-b01f-40bf-8890-b400d4e3d7f4:02c42795-4391-4b33-b589-9e39fcd9da56</t>
  </si>
  <si>
    <t>TV-tyO9yayhpq6XovidBhTC3</t>
  </si>
  <si>
    <t>urn:openrag:openarchiver:email:9e325a3e-b01f-40bf-8890-b400d4e3d7f4:90455ebd-4741-49d1-a105-1133d5af4455</t>
  </si>
  <si>
    <t>candidate-4bc1767622cf61cc</t>
  </si>
  <si>
    <t>component-e1432b98600c50c4</t>
  </si>
  <si>
    <t>FDDOLuBSbb1DQ1MXgOoGB2z9</t>
  </si>
  <si>
    <t>urn:openrag:openarchiver:email:9e325a3e-b01f-40bf-8890-b400d4e3d7f4:9f2834c2-6dcc-40bd-94b8-b4885a46f7f2</t>
  </si>
  <si>
    <t>o6cFIIuLX2ztVxeQ6k-Nh8py</t>
  </si>
  <si>
    <t>urn:openrag:openarchiver:attachment:4a7bd8cd-c4c4-4c75-9a76-94fb90598b7b</t>
  </si>
  <si>
    <t>candidate-4de9c529a298b9c4</t>
  </si>
  <si>
    <t>component-a108197d9d11ae8f</t>
  </si>
  <si>
    <t>xt5-G2BCAdBLdxjRB0-oPvLc</t>
  </si>
  <si>
    <t>urn:openrag:openarchiver:email:6ca4c5b5-3440-4c50-8666-cecfa25916d5:6027aa7b-f779-4bd6-8a6b-9d62a57736b9</t>
  </si>
  <si>
    <t>candidate-4e466f5c4a2937e4</t>
  </si>
  <si>
    <t>PTBooCLt3yuF0goqK9AM2vTi</t>
  </si>
  <si>
    <t>urn:openrag:openarchiver:email:9e325a3e-b01f-40bf-8890-b400d4e3d7f4:50c70dde-6beb-4201-be49-4ca1769f6c7b</t>
  </si>
  <si>
    <t>RE: EARL FERME DE POMMERIEUX _ bilan 2021</t>
  </si>
  <si>
    <t>candidate-4e6e0c0b2fd37780</t>
  </si>
  <si>
    <t>component-d2b6ad97d19d7ea4</t>
  </si>
  <si>
    <t>803ZUvxiII9prsJ6oE5GDGdH</t>
  </si>
  <si>
    <t>urn:openrag:openarchiver:attachment:4a3bd200-156a-4830-8ee5-11731d42ca19</t>
  </si>
  <si>
    <t>facture_9093277556_2023-11-06.pdf</t>
  </si>
  <si>
    <t>candidate-4e8c87d2ae5bfe73</t>
  </si>
  <si>
    <t>component-d31c347b457d2780</t>
  </si>
  <si>
    <t>zugDBmvsoZ_HG8FlC-iWHmnW</t>
  </si>
  <si>
    <t>urn:openrag:openarchiver:email:6ca4c5b5-3440-4c50-8666-cecfa25916d5:bbf0fef1-8488-46cc-8e57-e23de6c035a4</t>
  </si>
  <si>
    <t>candidate-504183378da5edb1</t>
  </si>
  <si>
    <t>component-02cd4ab679a785c2</t>
  </si>
  <si>
    <t>kpZ54JNkGA4iRrRuSihedRaN</t>
  </si>
  <si>
    <t>urn:openrag:openarchiver:email:6ca4c5b5-3440-4c50-8666-cecfa25916d5:25d10db8-a03c-47e8-b06a-0d79573e4545</t>
  </si>
  <si>
    <t>Enregistrement de votre commande</t>
  </si>
  <si>
    <t>-MA_ad6wM1A8Be47pJM5LbLx</t>
  </si>
  <si>
    <t>urn:openrag:openarchiver:attachment:74b3203b-e2d5-41a0-a590-587904761666</t>
  </si>
  <si>
    <t>candidate-51d78470035b3e34</t>
  </si>
  <si>
    <t>component-e12074bb88c51973</t>
  </si>
  <si>
    <t>cQNuSevA_olMQTCHQHtgpfrl</t>
  </si>
  <si>
    <t>urn:openrag:openarchiver:email:9e325a3e-b01f-40bf-8890-b400d4e3d7f4:f755e211-287f-4f9a-8082-818831a0d26b</t>
  </si>
  <si>
    <t>candidate-52b3a8470a94531b</t>
  </si>
  <si>
    <t>component-1df7334963116c38</t>
  </si>
  <si>
    <t>2_oPjqjziRdDmmhDCf8CYlsI</t>
  </si>
  <si>
    <t>urn:openrag:openarchiver:email:6ca4c5b5-3440-4c50-8666-cecfa25916d5:988de287-9dae-4e2e-93b7-ea572417d62f</t>
  </si>
  <si>
    <t>candidate-5447899106d32219</t>
  </si>
  <si>
    <t>C11qk8HFHQBEzHQG_RQ3hEul</t>
  </si>
  <si>
    <t>urn:openrag:openarchiver:email:9e325a3e-b01f-40bf-8890-b400d4e3d7f4:415b23d3-f126-4490-9880-a2ed06732262</t>
  </si>
  <si>
    <t>mail--415b23d3f126.eml</t>
  </si>
  <si>
    <t>candidate-551bea9bebeb1310</t>
  </si>
  <si>
    <t>component-759a1a5ab89c6798</t>
  </si>
  <si>
    <t>k6zZGnOVGhTgQyUFxI3HYXHU</t>
  </si>
  <si>
    <t>urn:openrag:openarchiver:email:9e325a3e-b01f-40bf-8890-b400d4e3d7f4:90daac41-0c49-4103-8d4c-5bcd3c42389e</t>
  </si>
  <si>
    <t>Confirmation : votre installation fibre FERME DE POMMERIEUX</t>
  </si>
  <si>
    <t>-6cMd82DFNKroTIr5dzG6MJc</t>
  </si>
  <si>
    <t>urn:openrag:openarchiver:email:6ca4c5b5-3440-4c50-8666-cecfa25916d5:edd29382-9af7-4a05-b2d2-e114b63dfcd8</t>
  </si>
  <si>
    <t>candidate-569b3fa93e686329</t>
  </si>
  <si>
    <t>component-21967138a5d4aeb3</t>
  </si>
  <si>
    <t>5eYL_PR8H2LENxqXKZA7pyLt</t>
  </si>
  <si>
    <t>urn:openrag:openarchiver:attachment:3abd983e-1d99-4784-9337-86f67c045986</t>
  </si>
  <si>
    <t>Facture_EDF_10259002418.pdf</t>
  </si>
  <si>
    <t>candidate-56d4dbc5a93926b6</t>
  </si>
  <si>
    <t>component-7cc7ef08ab85d768</t>
  </si>
  <si>
    <t>HnPMY5LEkYWJuZJJIEUXvXuY</t>
  </si>
  <si>
    <t>urn:openrag:openarchiver:email:9e325a3e-b01f-40bf-8890-b400d4e3d7f4:390c0b9b-f3a6-458d-bf00-cdf881aa3486</t>
  </si>
  <si>
    <t>candidate-57064db98624c102</t>
  </si>
  <si>
    <t>component-b867fb7ec6e27e40</t>
  </si>
  <si>
    <t>XD-FRsa69K5SF-7Zzlo7dZID</t>
  </si>
  <si>
    <t>urn:openrag:openarchiver:email:9e325a3e-b01f-40bf-8890-b400d4e3d7f4:89573f54-42ca-47a9-ab80-5203e19811af</t>
  </si>
  <si>
    <t>mail--89573f5442ca.eml</t>
  </si>
  <si>
    <t>candidate-575ef1da9145ace2</t>
  </si>
  <si>
    <t>aBDMDyWigD006Jac9XRIq79S</t>
  </si>
  <si>
    <t>urn:openrag:openarchiver:attachment:22308111-10e4-4342-8a06-195e7ff8ad9b</t>
  </si>
  <si>
    <t>Conditions_Generales_de_Vente_Sosh.pdf</t>
  </si>
  <si>
    <t>candidate-57a12d1092dd603b</t>
  </si>
  <si>
    <t>component-62d78922812baab4</t>
  </si>
  <si>
    <t>FBi2bWn1Z3ifShisE_3QkSiS</t>
  </si>
  <si>
    <t>urn:openrag:openarchiver:attachment:1d0c86ad-2095-47e5-9aa2-5f17fd168358</t>
  </si>
  <si>
    <t>Bon_de_commande_DEV-00787004.pdf</t>
  </si>
  <si>
    <t>candidate-59739ddc85a2351a</t>
  </si>
  <si>
    <t>component-97162335203ef55e</t>
  </si>
  <si>
    <t>HvKd1glLmwbE-_DVrBMYn1Uw</t>
  </si>
  <si>
    <t>urn:openrag:openarchiver:attachment:2927e92d-fc41-47d2-aa23-7bd8461dbae9</t>
  </si>
  <si>
    <t>Conditions Spécifiques des options Multi-SIM.pdf</t>
  </si>
  <si>
    <t>candidate-5aedd33702b2e790</t>
  </si>
  <si>
    <t>b8Jf7Mcl86OoRORGYSSJiWm-</t>
  </si>
  <si>
    <t>urn:openrag:openarchiver:email:9e325a3e-b01f-40bf-8890-b400d4e3d7f4:d94f7c98-3a0a-4d87-8f4e-9adf34e94eae</t>
  </si>
  <si>
    <t>mail--d94f7c983a0a.eml</t>
  </si>
  <si>
    <t>candidate-5c3fc46a71d99928</t>
  </si>
  <si>
    <t>component-cad5cb475c33c61f</t>
  </si>
  <si>
    <t>gCkEnuxhCmg11gsD0cvUACdl</t>
  </si>
  <si>
    <t>urn:openrag:openarchiver:email:6ca4c5b5-3440-4c50-8666-cecfa25916d5:7b0f59df-4b52-44db-a745-fb2e9418d1b5</t>
  </si>
  <si>
    <t>factures CIR CABL'INOV</t>
  </si>
  <si>
    <t>candidate-5c592ff4b5a74e47</t>
  </si>
  <si>
    <t>fYpRCd0EDjdi4lu_ldnJwPL1</t>
  </si>
  <si>
    <t>urn:openrag:openarchiver:attachment:2f83d6c5-7659-40ca-96c8-e40ed756c3ee</t>
  </si>
  <si>
    <t>facture_9093277556_2024-01-05.pdf</t>
  </si>
  <si>
    <t>candidate-5c884810e191f1ba</t>
  </si>
  <si>
    <t>component-a6ae4b9d55668e19</t>
  </si>
  <si>
    <t>ZMkc0QKZHeK5iv3Dl3N0mSB8</t>
  </si>
  <si>
    <t>urn:openrag:openarchiver:email:6ca4c5b5-3440-4c50-8666-cecfa25916d5:49599c03-9597-4b1a-a89b-22bd42d451bb</t>
  </si>
  <si>
    <t>candidate-5cd94966e8606c80</t>
  </si>
  <si>
    <t>component-555d3a4028840bae</t>
  </si>
  <si>
    <t>ak_wRm9UOMjKc4vr8wcPAetD</t>
  </si>
  <si>
    <t>urn:openrag:openarchiver:email:6ca4c5b5-3440-4c50-8666-cecfa25916d5:c1afc67c-5ebf-477c-a857-06933459b74b</t>
  </si>
  <si>
    <t>CABL'INOV</t>
  </si>
  <si>
    <t>candidate-5cefb45c045a08f9</t>
  </si>
  <si>
    <t>component-dca725566c399d43</t>
  </si>
  <si>
    <t>-i0jI8buKXEckP5qQmYuRz6O</t>
  </si>
  <si>
    <t>urn:openrag:openarchiver:email:6ca4c5b5-3440-4c50-8666-cecfa25916d5:cbe7c2d5-8e64-4bcc-8026-3b8706ca4c65</t>
  </si>
  <si>
    <t>candidate-5d439cd3102b0617</t>
  </si>
  <si>
    <t>component-5f2623d86ab0a6f0</t>
  </si>
  <si>
    <t>QnVP9mDfoDcfxs8nmGDHvLlZ</t>
  </si>
  <si>
    <t>urn:openrag:openarchiver:email:6ca4c5b5-3440-4c50-8666-cecfa25916d5:d81a8abb-0c06-4b79-bbda-97d9aa2465d4</t>
  </si>
  <si>
    <t>Eloi, venez découvrir La Boîte Sosh à prix mini !</t>
  </si>
  <si>
    <t>candidate-5e28b71354bb3831</t>
  </si>
  <si>
    <t>tW8tYzg33L9wC_b7dX7Y8nW8</t>
  </si>
  <si>
    <t>urn:openrag:openarchiver:email:9e325a3e-b01f-40bf-8890-b400d4e3d7f4:a34a48ba-57a7-4880-b4ae-45076b734442</t>
  </si>
  <si>
    <t>Proposition de partenariat pour hébergement de nœud télécom à Nouan-le-Fuzelier</t>
  </si>
  <si>
    <t>candidate-5e52d2d98dd9d68f</t>
  </si>
  <si>
    <t>component-453dbdf7df724ac7</t>
  </si>
  <si>
    <t>RrQodRTjEJLdXF-p3gxt4jgd</t>
  </si>
  <si>
    <t>urn:openrag:openarchiver:email:6ca4c5b5-3440-4c50-8666-cecfa25916d5:57c2ea79-6ee6-4c67-adf7-82d9ce54075a</t>
  </si>
  <si>
    <t>LENBasPfnWiXb7VV9ShqlRtl</t>
  </si>
  <si>
    <t>urn:openrag:openarchiver:email:9e325a3e-b01f-40bf-8890-b400d4e3d7f4:e8a5250a-9234-4e38-bf78-120b26149fa3</t>
  </si>
  <si>
    <t>candidate-5ea8da5173901698</t>
  </si>
  <si>
    <t>component-1458fdf3ae1bb1b7</t>
  </si>
  <si>
    <t>FoyDvgr3Wm69UsG3cI0NAwr7</t>
  </si>
  <si>
    <t>urn:openrag:openarchiver:email:6ca4c5b5-3440-4c50-8666-cecfa25916d5:7f1657d5-b542-49ae-a5ba-6f172792f6a9</t>
  </si>
  <si>
    <t>cYuDtrcpwD_XzcpOIFPSVeNe</t>
  </si>
  <si>
    <t>urn:openrag:openarchiver:attachment:1b05474b-25b6-4950-9a84-cb0defd9ad31</t>
  </si>
  <si>
    <t>candidate-61b17093a22578bd</t>
  </si>
  <si>
    <t>component-70d583592c58eaf5</t>
  </si>
  <si>
    <t>-C-2V_KhTLJS6eFTe9r1IXIp</t>
  </si>
  <si>
    <t>urn:openrag:openarchiver:email:6ca4c5b5-3440-4c50-8666-cecfa25916d5:b73a36c3-67e0-4efb-a1f2-3dfe5c591838</t>
  </si>
  <si>
    <t>Votre paiement par carte bancaire est pris en compte</t>
  </si>
  <si>
    <t>candidate-61d4e533ce483233</t>
  </si>
  <si>
    <t>tgrUjeTMW3qyulXziiGrYoTH</t>
  </si>
  <si>
    <t>urn:openrag:openarchiver:email:6ca4c5b5-3440-4c50-8666-cecfa25916d5:c70cc409-ad8c-4b28-8e61-ae10fb9cb614</t>
  </si>
  <si>
    <t>Votre changement de Code secret</t>
  </si>
  <si>
    <t>candidate-61ed0c66a6569e2a</t>
  </si>
  <si>
    <t>0kPtqdu2XNomIO-LhIq4gjcu</t>
  </si>
  <si>
    <t>urn:openrag:openarchiver:attachment:7212de69-b6f4-493c-8b38-7478791478ef</t>
  </si>
  <si>
    <t>Grand-livre général 6 a 8 ANNEE 2024.pdf</t>
  </si>
  <si>
    <t>candidate-632231bb74da6db5</t>
  </si>
  <si>
    <t>component-66f7c56f1d3908ca</t>
  </si>
  <si>
    <t>GO20QvknCGiAtckYZF7i2OU2</t>
  </si>
  <si>
    <t>urn:openrag:openarchiver:email:6ca4c5b5-3440-4c50-8666-cecfa25916d5:e59b1cd6-1a38-44b2-961b-c5bfd22343ff</t>
  </si>
  <si>
    <t>candidate-64226698bb558f3f</t>
  </si>
  <si>
    <t>h3U2ZD1ONEt93kYmJK84Dk4s</t>
  </si>
  <si>
    <t>urn:openrag:openarchiver:attachment:66dad0b3-f435-4e89-ba03-7f321ef7249f</t>
  </si>
  <si>
    <t>023424 C1 plaquette 12.2021.pdf</t>
  </si>
  <si>
    <t>candidate-6432aa277d554bd5</t>
  </si>
  <si>
    <t>o0dxk7Fo8z6vA-VeqKovPhmO</t>
  </si>
  <si>
    <t>urn:openrag:openarchiver:attachment:79e0666a-3cb0-4762-af18-5eb6be9329e5</t>
  </si>
  <si>
    <t>facture_9073083280_2025-12-04.pdf</t>
  </si>
  <si>
    <t>candidate-653ad2040564b7c0</t>
  </si>
  <si>
    <t>component-87b001e621c80d58</t>
  </si>
  <si>
    <t>vgVcStwvuAXsHAToOqFk4mvZ</t>
  </si>
  <si>
    <t>urn:openrag:openarchiver:email:6ca4c5b5-3440-4c50-8666-cecfa25916d5:63225106-accd-420c-8bbc-0a877fa174ea</t>
  </si>
  <si>
    <t>candidate-653e3e6011fb1d68</t>
  </si>
  <si>
    <t>component-2f657ce12019f3d9</t>
  </si>
  <si>
    <t>RzgtyqzqL44r_Y4XXIkfQdJ6</t>
  </si>
  <si>
    <t>urn:openrag:openarchiver:email:9e325a3e-b01f-40bf-8890-b400d4e3d7f4:596caade-aaf5-46bd-963f-7ba3191f23d5</t>
  </si>
  <si>
    <t>RE: Voitures</t>
  </si>
  <si>
    <t>candidate-65c596978a466e45</t>
  </si>
  <si>
    <t>component-76621d9f7139b680</t>
  </si>
  <si>
    <t>XY6v_fVR411O24UHOpXGcEv7</t>
  </si>
  <si>
    <t>urn:openrag:openarchiver:attachment:555bcc26-f2d5-413a-a93f-c48b2dac53b0</t>
  </si>
  <si>
    <t>251016-facture_9073083280_2025-10-06.pdf</t>
  </si>
  <si>
    <t>KizHgCdnjXXNF94LUB8o9-6M</t>
  </si>
  <si>
    <t>urn:openrag:openarchiver:email:9e325a3e-b01f-40bf-8890-b400d4e3d7f4:30dc3eae-d8a3-4f5f-8917-61a90735729b</t>
  </si>
  <si>
    <t>candidate-67bf232b78ee004f</t>
  </si>
  <si>
    <t>component-f875a34b7c9d0a32</t>
  </si>
  <si>
    <t>VchamYYVc1zT19OtYHwMWXXV</t>
  </si>
  <si>
    <t>urn:openrag:openarchiver:email:6ca4c5b5-3440-4c50-8666-cecfa25916d5:34eb6b3e-f6da-4511-bfdc-16dc4581bd36</t>
  </si>
  <si>
    <t>Vous avez choisi la Boîte Sosh Fibre (Rappel)</t>
  </si>
  <si>
    <t>candidate-67ca4450a0f4783c</t>
  </si>
  <si>
    <t>component-9b28b0fbcb0672b2</t>
  </si>
  <si>
    <t>GnmtLnfVWAgkhaFbjUkUa4Gz</t>
  </si>
  <si>
    <t>urn:openrag:openarchiver:email:9e325a3e-b01f-40bf-8890-b400d4e3d7f4:52c0dafd-625c-411b-8754-4c6288a638ee</t>
  </si>
  <si>
    <t>candidate-68086c512c973308</t>
  </si>
  <si>
    <t>component-2efe8142feda356b</t>
  </si>
  <si>
    <t>j2RdFIYItQnt662l15o_xH4k</t>
  </si>
  <si>
    <t>urn:openrag:openarchiver:email:6ca4c5b5-3440-4c50-8666-cecfa25916d5:62302aeb-957d-4ed4-8568-77d41603fc1b</t>
  </si>
  <si>
    <t>candidate-69906012b8c5fdc2</t>
  </si>
  <si>
    <t>component-9419cbcfea5934bd</t>
  </si>
  <si>
    <t>zQPwAf9RsnNjZX_KsWK_uF5I</t>
  </si>
  <si>
    <t>urn:openrag:openarchiver:attachment:6d20a80e-46f2-4956-9c74-3c5d70daecf7</t>
  </si>
  <si>
    <t>facture_9073083280_2024-11-04.pdf</t>
  </si>
  <si>
    <t>candidate-6a3b09a8b8e115f4</t>
  </si>
  <si>
    <t>component-fc47f21f6f9ba57b</t>
  </si>
  <si>
    <t>-Ze9lUOv7Iw9lz_lmBeM924t</t>
  </si>
  <si>
    <t>urn:openrag:openarchiver:email:6ca4c5b5-3440-4c50-8666-cecfa25916d5:78713f6a-01b2-4892-b9bb-002360aff2df</t>
  </si>
  <si>
    <t>candidate-6cd2c7e602acc905</t>
  </si>
  <si>
    <t>component-fe573d8abcf697ae</t>
  </si>
  <si>
    <t>2mEKZYZjiWOd2zSb1XyrQ5TX</t>
  </si>
  <si>
    <t>urn:openrag:openarchiver:email:6ca4c5b5-3440-4c50-8666-cecfa25916d5:ce42333d-f7ba-4f1e-92d9-db2308667174</t>
  </si>
  <si>
    <t>candidate-6d7015f0e518d0e8</t>
  </si>
  <si>
    <t>gZCysj2zEu2G_nngMJA385h8</t>
  </si>
  <si>
    <t>urn:openrag:openarchiver:email:9e325a3e-b01f-40bf-8890-b400d4e3d7f4:667cd526-9b06-4b54-841f-96238efc344a</t>
  </si>
  <si>
    <t>EARL FERME DE POMMERIEUX _ bilan 2021</t>
  </si>
  <si>
    <t>candidate-6df242d738aa92b7</t>
  </si>
  <si>
    <t>component-7069fc7796e4131c</t>
  </si>
  <si>
    <t>LT1MT1tg2K8QTGNTr73vmTe1</t>
  </si>
  <si>
    <t>urn:openrag:openarchiver:email:6ca4c5b5-3440-4c50-8666-cecfa25916d5:1eea0530-f559-4349-b21c-dd0493ea84b4</t>
  </si>
  <si>
    <t>candidate-6ef6cb1fba7cad4f</t>
  </si>
  <si>
    <t>component-e943111e74321a59</t>
  </si>
  <si>
    <t>sPC9GscQL2f_WvQdQDhgxRHx</t>
  </si>
  <si>
    <t>urn:openrag:openarchiver:email:6ca4c5b5-3440-4c50-8666-cecfa25916d5:7d6658b6-aae0-4f5b-ac2d-b81e4e70ed4c</t>
  </si>
  <si>
    <t>candidate-7155916c8df72bca</t>
  </si>
  <si>
    <t>component-538ff02ec1e8894d</t>
  </si>
  <si>
    <t>9rKYnbM8qokQvqsGHSCTdd-R</t>
  </si>
  <si>
    <t>urn:openrag:openarchiver:email:6ca4c5b5-3440-4c50-8666-cecfa25916d5:63cbf914-ea19-4328-a970-ea96b3e7c38d</t>
  </si>
  <si>
    <t>vmKJr7r5t9TmuYu6wW6bjdL1</t>
  </si>
  <si>
    <t>urn:openrag:openarchiver:attachment:5ba34af5-9a9e-43be-b3ee-023626cb03fd</t>
  </si>
  <si>
    <t>candidate-72d63757faaeaab4</t>
  </si>
  <si>
    <t>evwxypQTvsQiMuWvvaETr_-S</t>
  </si>
  <si>
    <t>urn:openrag:openarchiver:email:9e325a3e-b01f-40bf-8890-b400d4e3d7f4:c307e713-f576-4978-b4dc-4987d36557c7</t>
  </si>
  <si>
    <t>Groupe de travail " Cahier des charges"</t>
  </si>
  <si>
    <t>candidate-73c72a37499fded7</t>
  </si>
  <si>
    <t>component-4bf63e7ed8503c68</t>
  </si>
  <si>
    <t>3TjD8xFiyQHHN3pD2NyB12yz</t>
  </si>
  <si>
    <t>urn:openrag:openarchiver:email:9e325a3e-b01f-40bf-8890-b400d4e3d7f4:bd4852d6-3799-40f6-b213-0c8f6b9e2064</t>
  </si>
  <si>
    <t>candidate-74942ba8c04a2ab0</t>
  </si>
  <si>
    <t>component-530bba1248b3afd3</t>
  </si>
  <si>
    <t>TpCIPSIRp15wnNS1y4gs4W2S</t>
  </si>
  <si>
    <t>urn:openrag:openarchiver:email:6ca4c5b5-3440-4c50-8666-cecfa25916d5:6b3588b1-e770-47ba-a81e-d86a57eb87da</t>
  </si>
  <si>
    <t>On vient de faire la résiliation, ELOI !</t>
  </si>
  <si>
    <t>candidate-74e527b6b7376917</t>
  </si>
  <si>
    <t>component-f7e91e81efe09b6e</t>
  </si>
  <si>
    <t>O4IVlfN7tOBu0Nu1f7k5Mjq5</t>
  </si>
  <si>
    <t>urn:openrag:openarchiver:email:9e325a3e-b01f-40bf-8890-b400d4e3d7f4:47f18705-a8de-4488-8ad9-c5eebc2ab3b1</t>
  </si>
  <si>
    <t>Votre facture Internet est en ligne</t>
  </si>
  <si>
    <t>candidate-75aef5829e6aed86</t>
  </si>
  <si>
    <t>component-c0d420d084c3d5a9</t>
  </si>
  <si>
    <t>krvnvNT1Jm0Gu4yImn44pEDn</t>
  </si>
  <si>
    <t>urn:openrag:openarchiver:email:6ca4c5b5-3440-4c50-8666-cecfa25916d5:5c5d3ddc-f003-4c5e-bc54-92f4e6bda592</t>
  </si>
  <si>
    <t>À propos du mot de passe de votre compte Sosh</t>
  </si>
  <si>
    <t>candidate-75b52e47e56afba3</t>
  </si>
  <si>
    <t>component-a4d1d2a7286f20e1</t>
  </si>
  <si>
    <t>LIaoxSWZ2F6jae-7MDXtO9Ge</t>
  </si>
  <si>
    <t>urn:openrag:openarchiver:email:9e325a3e-b01f-40bf-8890-b400d4e3d7f4:70c3f747-86fc-4ddd-af9b-d1f3fa1a930a</t>
  </si>
  <si>
    <t>candidate-77159b884dd490fe</t>
  </si>
  <si>
    <t>component-65281fd33eb33740</t>
  </si>
  <si>
    <t>wjqod3M2CyPayp6kO1KAMvzA</t>
  </si>
  <si>
    <t>urn:openrag:openarchiver:email:6ca4c5b5-3440-4c50-8666-cecfa25916d5:6b6b76c1-3c51-42bd-a804-783fa0afe703</t>
  </si>
  <si>
    <t>candidate-7717f2772b796c31</t>
  </si>
  <si>
    <t>component-0f5c938228609387</t>
  </si>
  <si>
    <t>J6rtNjo2MlK_Xr5Tkq7wYBhA</t>
  </si>
  <si>
    <t>urn:openrag:openarchiver:email:9e325a3e-b01f-40bf-8890-b400d4e3d7f4:cde27889-f221-4bfd-b5a2-3926da63a85d</t>
  </si>
  <si>
    <t>candidate-775bee5f1a6700dc</t>
  </si>
  <si>
    <t>component-d3e1db0c9a150834</t>
  </si>
  <si>
    <t>oqLRLk3ByHFPhPqS0AeNhTMo</t>
  </si>
  <si>
    <t>urn:openrag:openarchiver:attachment:5dfb2dac-746e-4c51-9a5c-5020d5207b99</t>
  </si>
  <si>
    <t>facture_9073083280_2024-09-04.pdf</t>
  </si>
  <si>
    <t>candidate-77c8582e7e53fb47</t>
  </si>
  <si>
    <t>component-803f917aa94ec411</t>
  </si>
  <si>
    <t>uiBade-WhmuN4CIKV-AxDKcc</t>
  </si>
  <si>
    <t>urn:openrag:openarchiver:email:6ca4c5b5-3440-4c50-8666-cecfa25916d5:00e0a09b-81d4-4094-88bc-d70130b44c93</t>
  </si>
  <si>
    <t>dossier CIR pour relecture</t>
  </si>
  <si>
    <t>candidate-793148301b3cd925</t>
  </si>
  <si>
    <t>component-80e1f999c507bce4</t>
  </si>
  <si>
    <t>r3uoqZi3SluWV7v0KYBkvyhZ</t>
  </si>
  <si>
    <t>urn:openrag:openarchiver:email:6ca4c5b5-3440-4c50-8666-cecfa25916d5:369e5ef7-465b-4b5f-bff6-ef89d5f6a2ae</t>
  </si>
  <si>
    <t>candidate-7bab0144aa22b3b2</t>
  </si>
  <si>
    <t>component-c4f21cc3dfb5e91b</t>
  </si>
  <si>
    <t>Tj6dgFNRe9Hhe87Bw2FyNfnR</t>
  </si>
  <si>
    <t>urn:openrag:openarchiver:attachment:11bad62e-3ae7-4ef2-ba94-4609de6b4dc7</t>
  </si>
  <si>
    <t>candidate-7bc2a337f882697e</t>
  </si>
  <si>
    <t>component-1eb749e1bcb25a1b</t>
  </si>
  <si>
    <t>Zqq9f5XCX7KaWF_27fnszNuS</t>
  </si>
  <si>
    <t>urn:openrag:openarchiver:email:6ca4c5b5-3440-4c50-8666-cecfa25916d5:e0015bbe-3207-47cf-af19-03a373e2d33e</t>
  </si>
  <si>
    <t>candidate-7c2b4db190178eec</t>
  </si>
  <si>
    <t>bEoA0mtghSVp0Qxa4i8oA1jV</t>
  </si>
  <si>
    <t>urn:openrag:openarchiver:email:9e325a3e-b01f-40bf-8890-b400d4e3d7f4:9eef2d15-3dc4-4890-805f-2b7113770ba8</t>
  </si>
  <si>
    <t>FNSEA 41 - "Anti-tout" : restons vigilants</t>
  </si>
  <si>
    <t>candidate-7d0b5d557d075a74</t>
  </si>
  <si>
    <t>gofYTQ0sGTZgi--7zbkNW2qj</t>
  </si>
  <si>
    <t>urn:openrag:openarchiver:email:9e325a3e-b01f-40bf-8890-b400d4e3d7f4:ff0df171-3407-44d7-b1d8-9d5938b2e74f</t>
  </si>
  <si>
    <t>Consultez les documents relatifs à nos offres Freebox</t>
  </si>
  <si>
    <t>R2JxM5twu7csw0H1b8Lp44sI</t>
  </si>
  <si>
    <t>urn:openrag:openarchiver:email:6ca4c5b5-3440-4c50-8666-cecfa25916d5:8fd527ba-1c75-4dbc-bf6f-b72b84f3a8ef</t>
  </si>
  <si>
    <t>YnqV9tL7mBhXieQ-qwDpmj9A</t>
  </si>
  <si>
    <t>urn:openrag:openarchiver:attachment:05609579-5fce-4824-ac35-bd6f07d74a29</t>
  </si>
  <si>
    <t>candidate-7f35140c912d5635</t>
  </si>
  <si>
    <t>component-990d809eab8449f9</t>
  </si>
  <si>
    <t>LhwimPHxYLT8rXSUwwq7SgpP</t>
  </si>
  <si>
    <t>urn:openrag:openarchiver:attachment:609d5843-428f-4ea9-ac84-848f0082381f</t>
  </si>
  <si>
    <t>facture_9093277556_2023-12-05.pdf</t>
  </si>
  <si>
    <t>candidate-8116a91a95feb3a6</t>
  </si>
  <si>
    <t>component-108a67c06a7fd75f</t>
  </si>
  <si>
    <t>jxnw3ivNe-j1pbA-6VLAMNzz</t>
  </si>
  <si>
    <t>urn:openrag:openarchiver:attachment:501cd4b6-9899-419c-8247-7214c1b3426b</t>
  </si>
  <si>
    <t>E7x4RGSFr4KzJ4DKssdFz_gi</t>
  </si>
  <si>
    <t>urn:openrag:openarchiver:email:6ca4c5b5-3440-4c50-8666-cecfa25916d5:4e57c5a2-eff8-4103-829b-074e3b22ba1a</t>
  </si>
  <si>
    <t>candidate-81c1a1f8107a7085</t>
  </si>
  <si>
    <t>component-5e4ca5060e385a0c</t>
  </si>
  <si>
    <t>NJErtALElvlCHPGOpdzBSXrD</t>
  </si>
  <si>
    <t>urn:openrag:openarchiver:email:6ca4c5b5-3440-4c50-8666-cecfa25916d5:588a9c10-2792-4677-a8aa-9ce9d6c3ff60</t>
  </si>
  <si>
    <t>candidate-82c0937b76d61279</t>
  </si>
  <si>
    <t>component-2b729119dc01784b</t>
  </si>
  <si>
    <t>4a3krDqhPKGoANJhZBj3FA2D</t>
  </si>
  <si>
    <t>urn:openrag:openarchiver:attachment:3e84d898-e8fc-4060-9289-e0a42faa5208</t>
  </si>
  <si>
    <t>Convention du 10 février 2020 - GGD41 FNSEA41 JA41 - DEMETER 41.pdf</t>
  </si>
  <si>
    <t>Z00mWHwqTVEWPhNsD3QCTcb9</t>
  </si>
  <si>
    <t>urn:openrag:openarchiver:email:9e325a3e-b01f-40bf-8890-b400d4e3d7f4:292c0402-123c-46b4-86ff-735774b31c6a</t>
  </si>
  <si>
    <t>candidate-8337d31764d6b22e</t>
  </si>
  <si>
    <t>component-ae316cf5b1009e68</t>
  </si>
  <si>
    <t>ZWzYCQWLBRCB1d6_c8WtVHV6</t>
  </si>
  <si>
    <t>urn:openrag:openarchiver:email:6ca4c5b5-3440-4c50-8666-cecfa25916d5:8856dd23-01d8-476e-b42f-0f74c3df4026</t>
  </si>
  <si>
    <t>Re: DOC CIR</t>
  </si>
  <si>
    <t>candidate-838598e0d446c2f6</t>
  </si>
  <si>
    <t>component-060b2794708fbc5d</t>
  </si>
  <si>
    <t>4TCu3oZj0-M-2EgcIctWfxVu</t>
  </si>
  <si>
    <t>urn:openrag:openarchiver:email:9e325a3e-b01f-40bf-8890-b400d4e3d7f4:90f11bf6-b856-4a07-b547-7ca9feda9ea6</t>
  </si>
  <si>
    <t>Demande de documents - WISEARCH</t>
  </si>
  <si>
    <t>_KoWMwHpl5d5SSeZI8vAbUu1</t>
  </si>
  <si>
    <t>urn:openrag:openarchiver:email:6ca4c5b5-3440-4c50-8666-cecfa25916d5:220a2a68-fb6a-47a5-ace9-36904dcd46ae</t>
  </si>
  <si>
    <t>candidate-858b371b6ffa3567</t>
  </si>
  <si>
    <t>HGzRxVk9pG2YWvPytcXh9-hM</t>
  </si>
  <si>
    <t>urn:openrag:openarchiver:email:6ca4c5b5-3440-4c50-8666-cecfa25916d5:d60eb6f0-7423-446a-8d22-a0fcb4192bb7</t>
  </si>
  <si>
    <t>candidate-873a5c5aec011f39</t>
  </si>
  <si>
    <t>component-72906384480cc768</t>
  </si>
  <si>
    <t>50MnBlVeSR2lueh8HGmePMJ1</t>
  </si>
  <si>
    <t>urn:openrag:openarchiver:email:6ca4c5b5-3440-4c50-8666-cecfa25916d5:cfcda6d1-6c22-473c-be4d-6c1c379f7d10</t>
  </si>
  <si>
    <t>Vos conditions d'abonnement</t>
  </si>
  <si>
    <t>UMVyLNfsajqDs8KS1KOSa2B6</t>
  </si>
  <si>
    <t>urn:openrag:openarchiver:email:9e325a3e-b01f-40bf-8890-b400d4e3d7f4:ce33efa3-1535-46d4-9f1e-6e97ff070cd1</t>
  </si>
  <si>
    <t>candidate-88caf288d2e8e497</t>
  </si>
  <si>
    <t>x5772Z4hhoIeAn8KR41bmXSO</t>
  </si>
  <si>
    <t>urn:openrag:openarchiver:email:6ca4c5b5-3440-4c50-8666-cecfa25916d5:2b0c24b8-691a-4406-ad58-806844a5e233</t>
  </si>
  <si>
    <t>Re: SIG - WISEARCH</t>
  </si>
  <si>
    <t>candidate-899ab193deb040f6</t>
  </si>
  <si>
    <t>component-79fe68d84cdf6e18</t>
  </si>
  <si>
    <t>-_asJOeiS6GwtZQmbQhp-cbX</t>
  </si>
  <si>
    <t>urn:openrag:openarchiver:email:6ca4c5b5-3440-4c50-8666-cecfa25916d5:ea21fa4f-11d8-4cba-b547-2950c446b3c9</t>
  </si>
  <si>
    <t>Confirmation pour votre voyage NOUAN LE FUZELIER - GENEVE, aller le 25 janv.</t>
  </si>
  <si>
    <t>candidate-89a157e1e66e7033</t>
  </si>
  <si>
    <t>component-4b8a07a2e2c97743</t>
  </si>
  <si>
    <t>GEX2ZpwpYHuZC7cJPc2dQkWt</t>
  </si>
  <si>
    <t>urn:openrag:openarchiver:email:6ca4c5b5-3440-4c50-8666-cecfa25916d5:3a8f4b61-8c57-4df3-b051-f554e06e3de4</t>
  </si>
  <si>
    <t>candidate-8ab615f58cffd5cf</t>
  </si>
  <si>
    <t>component-665e19eaa5af669b</t>
  </si>
  <si>
    <t>37NUtvdy_slnqWBJuoN2fnZx</t>
  </si>
  <si>
    <t>urn:openrag:openarchiver:email:6ca4c5b5-3440-4c50-8666-cecfa25916d5:ba329f31-1948-4caa-b54b-730caf460795</t>
  </si>
  <si>
    <t>Dossier CIR 2016 actualisé</t>
  </si>
  <si>
    <t>candidate-8ad9aa31445f2385</t>
  </si>
  <si>
    <t>component-b92463bdb05ce095</t>
  </si>
  <si>
    <t>7PyuArwBohmso-RyvGoNlFPT</t>
  </si>
  <si>
    <t>urn:openrag:openarchiver:email:9e325a3e-b01f-40bf-8890-b400d4e3d7f4:25e4a290-ae7f-40c3-94c5-f09f8a65ffbc</t>
  </si>
  <si>
    <t>Votre accès à la fibre</t>
  </si>
  <si>
    <t>candidate-8c3e27b891da1f72</t>
  </si>
  <si>
    <t>component-4842a5253018cef8</t>
  </si>
  <si>
    <t>D6VU9s52GuxkCt99fBAomeEw</t>
  </si>
  <si>
    <t>urn:openrag:openarchiver:attachment:5200e9a0-4b9a-4df8-b260-4ff912eb1e9d</t>
  </si>
  <si>
    <t>candidate-8ca4b5f17daa977f</t>
  </si>
  <si>
    <t>component-92b30199ac28acef</t>
  </si>
  <si>
    <t>rtTLfnNn3aKyQfhOM33ftRGC</t>
  </si>
  <si>
    <t>urn:openrag:openarchiver:email:9e325a3e-b01f-40bf-8890-b400d4e3d7f4:ec0e2d07-4dc5-470d-84b4-d2ea9c9b0325</t>
  </si>
  <si>
    <t>[Free] Votre abonnement Freebox - Prise en charge incident</t>
  </si>
  <si>
    <t>candidate-8dc6a4a18dc09a46</t>
  </si>
  <si>
    <t>component-6b40254ee8115026</t>
  </si>
  <si>
    <t>D-7581HzoyZ4WwQ2I7_Aw9H8</t>
  </si>
  <si>
    <t>urn:openrag:openarchiver:email:9e325a3e-b01f-40bf-8890-b400d4e3d7f4:30e42024-1e33-43fd-9bce-56ada06a54c9</t>
  </si>
  <si>
    <t>candidate-8eacb09673267370</t>
  </si>
  <si>
    <t>component-644a227a0546eda4</t>
  </si>
  <si>
    <t>yRFGAQ3ON6hni1vQIQBBim5o</t>
  </si>
  <si>
    <t>urn:openrag:openarchiver:attachment:3cbf649b-c142-4b99-83a7-d2171d43ccc3</t>
  </si>
  <si>
    <t>facture_9073083280_2024-02-05.pdf</t>
  </si>
  <si>
    <t>D_oGAq-htcRfZLgO9EzG1UZc</t>
  </si>
  <si>
    <t>urn:openrag:openarchiver:attachment:3cb3c79a-bf22-49ae-b797-ffcb123ef05e</t>
  </si>
  <si>
    <t>p9CufeiEhf_f2BrOAyWN06kY</t>
  </si>
  <si>
    <t>urn:openrag:openarchiver:attachment:77f20618-64fb-4e3d-9e41-0583dc2ae900</t>
  </si>
  <si>
    <t>candidate-92a041b2aa03cd4a</t>
  </si>
  <si>
    <t>component-d1ad367deb8c509b</t>
  </si>
  <si>
    <t>X3p9uPJZ2hT5bfra8RSg68PV</t>
  </si>
  <si>
    <t>urn:openrag:openarchiver:email:6ca4c5b5-3440-4c50-8666-cecfa25916d5:13ac4f3c-c9cd-40de-8b45-4c2660bfc3b6</t>
  </si>
  <si>
    <t>candidate-9453b4013c26edc1</t>
  </si>
  <si>
    <t>UQ59LdQJqajq_TdH5-ZJdq6s</t>
  </si>
  <si>
    <t>urn:openrag:openarchiver:email:9e325a3e-b01f-40bf-8890-b400d4e3d7f4:a4e29200-678f-4fe3-b43f-678fbd956f28</t>
  </si>
  <si>
    <t>Réponse automatique : [EXT] EARL FERME DE POMMERIEUX  - plaquettes 2022 et 2021</t>
  </si>
  <si>
    <t>candidate-9476c863b6da9353</t>
  </si>
  <si>
    <t>component-44ba53412aaf5cd5</t>
  </si>
  <si>
    <t>vThG5GPxKTeotmieXmx6Imyh</t>
  </si>
  <si>
    <t>urn:openrag:openarchiver:attachment:576d8d3e-3a62-4514-abb2-70ac66cf5372</t>
  </si>
  <si>
    <t>MADEJ_Loan_Rapport_Stage_M2_BEE_PNB.pdf</t>
  </si>
  <si>
    <t>candidate-95324d8fff1f1c80</t>
  </si>
  <si>
    <t>component-33b8750c22ae9308</t>
  </si>
  <si>
    <t>bvGErckj3hUsPB_LVzm1hbBj</t>
  </si>
  <si>
    <t>urn:openrag:openarchiver:email:6ca4c5b5-3440-4c50-8666-cecfa25916d5:9561d669-a556-49e7-8e64-9df9c19943ec</t>
  </si>
  <si>
    <t>Chez vous, internet est trop lent ? La solution est ICI &gt;&gt;&gt;</t>
  </si>
  <si>
    <t>candidate-955aac9eedbd4f53</t>
  </si>
  <si>
    <t>component-08e2fae285d18865</t>
  </si>
  <si>
    <t>I77UURZMkDGqKXHYZ6CujvVg</t>
  </si>
  <si>
    <t>urn:openrag:openarchiver:email:9e325a3e-b01f-40bf-8890-b400d4e3d7f4:55458988-7e8e-4061-bea4-e6e6bbb8f57c</t>
  </si>
  <si>
    <t>[MIlkyWan] Bonne année : Rétrospective 2022 et Roadmap 2023</t>
  </si>
  <si>
    <t>candidate-9564c32e3770d53d</t>
  </si>
  <si>
    <t>-RTtnCuF7DRQUx3iKBKyS8rz</t>
  </si>
  <si>
    <t>urn:openrag:openarchiver:attachment:5761d919-b072-49e0-b2f2-ea7169a1ecc9</t>
  </si>
  <si>
    <t>Devis_144.pdf</t>
  </si>
  <si>
    <t>candidate-968df21ab6f08bd4</t>
  </si>
  <si>
    <t>component-61bd491373800bef</t>
  </si>
  <si>
    <t>ljLxSVCam6JaIQI_-Ftn-uV-</t>
  </si>
  <si>
    <t>urn:openrag:openarchiver:email:6ca4c5b5-3440-4c50-8666-cecfa25916d5:770b115d-407e-466f-9570-2c51cfaf321e</t>
  </si>
  <si>
    <t>candidate-96ba80ad9ded568f</t>
  </si>
  <si>
    <t>component-7459c64f03d7f784</t>
  </si>
  <si>
    <t>uredyFw9nE4No2OPzSej1pam</t>
  </si>
  <si>
    <t>urn:openrag:openarchiver:email:6ca4c5b5-3440-4c50-8666-cecfa25916d5:5ed66cc9-8636-4907-a339-3c2e78cd6926</t>
  </si>
  <si>
    <t>candidate-9807e0cc15420b4c</t>
  </si>
  <si>
    <t>component-cd19a41ae4365482</t>
  </si>
  <si>
    <t>9JkPmaswBMNhB7QA2U2QBV0y</t>
  </si>
  <si>
    <t>urn:openrag:openarchiver:attachment:754c1868-5afd-4d1d-876a-c832905c2399</t>
  </si>
  <si>
    <t>candidate-98e2698f25ad4c12</t>
  </si>
  <si>
    <t>sFeXi191bTnlzbxuC7aKa90b</t>
  </si>
  <si>
    <t>urn:openrag:openarchiver:attachment:3118623c-e8c0-431d-85cd-f2c5685a85fa</t>
  </si>
  <si>
    <t>facture_9065627022_2020-03-23-5.pdf</t>
  </si>
  <si>
    <t>WTjoFIeKmkdeFtXw9SuykZvz</t>
  </si>
  <si>
    <t>urn:openrag:openarchiver:email:9e325a3e-b01f-40bf-8890-b400d4e3d7f4:1707f57d-cafb-41ca-af67-fe78a301d9a3</t>
  </si>
  <si>
    <t>candidate-99533846130f751f</t>
  </si>
  <si>
    <t>component-33fd3248b9efb467</t>
  </si>
  <si>
    <t>aQ7EnZRDoWeBiRVQusTbihuf</t>
  </si>
  <si>
    <t>urn:openrag:openarchiver:email:9e325a3e-b01f-40bf-8890-b400d4e3d7f4:f2b9aa10-c337-4d94-b661-f7d851688cff</t>
  </si>
  <si>
    <t>Re: Relance activités à distance et Confirmation (bis pour certains) d'inscription à la formation "Calculer et analyser ses coûts de production....avec l’IGP Agneaux de Sologne"</t>
  </si>
  <si>
    <t>candidate-998810d6b85dd559</t>
  </si>
  <si>
    <t>YwKyGcXK_-ATAYYb2kjK59Ro</t>
  </si>
  <si>
    <t>urn:openrag:openarchiver:attachment:6a05b08a-8731-4c6c-9284-5efc44708f66</t>
  </si>
  <si>
    <t>20250129_Tax Invoice_404-4466743-2211569.pdf</t>
  </si>
  <si>
    <t>candidate-9a0499c3451a11f2</t>
  </si>
  <si>
    <t>component-c5d92464737688ab</t>
  </si>
  <si>
    <t>22pRzvgRvlUIhf441PnF99TV</t>
  </si>
  <si>
    <t>urn:openrag:openarchiver:email:9e325a3e-b01f-40bf-8890-b400d4e3d7f4:373d8b8e-dd19-49e0-b3c8-05e29a23ccba</t>
  </si>
  <si>
    <t>[Free] Votre abonnement Freebox - Rendez-vous le lundi 28 octobre</t>
  </si>
  <si>
    <t>candidate-9accd2e978952e12</t>
  </si>
  <si>
    <t>qq5QQkWJeBO_Oc520njDsxx1</t>
  </si>
  <si>
    <t>urn:openrag:openarchiver:email:6ca4c5b5-3440-4c50-8666-cecfa25916d5:1667bdb8-056c-4c76-a47c-1bf23a0f7830</t>
  </si>
  <si>
    <t>SIG - WISEARCH</t>
  </si>
  <si>
    <t>0pj0XRbx3w8JUFnB21M3VwvO</t>
  </si>
  <si>
    <t>urn:openrag:openarchiver:attachment:3419bc68-9af9-4359-89b3-e80bdd64a3e0</t>
  </si>
  <si>
    <t>candidate-9b613536446a0df0</t>
  </si>
  <si>
    <t>component-e65c4e41cf438405</t>
  </si>
  <si>
    <t>NQcW4dxBucHHTsWZ5gpWF8F1</t>
  </si>
  <si>
    <t>urn:openrag:openarchiver:email:9e325a3e-b01f-40bf-8890-b400d4e3d7f4:3978a1e9-85a3-4a29-8022-79afd7b6684d</t>
  </si>
  <si>
    <t>candidate-9b6d42af0524b0bd</t>
  </si>
  <si>
    <t>component-0727a75ae6088c86</t>
  </si>
  <si>
    <t>hOhuezcUEcWYIpaQQPuyGgAs</t>
  </si>
  <si>
    <t>urn:openrag:openarchiver:email:9e325a3e-b01f-40bf-8890-b400d4e3d7f4:cacf3bc6-89a9-4d73-a68c-d391459783ac</t>
  </si>
  <si>
    <t>CAPITAL sur M6 dimanche soir</t>
  </si>
  <si>
    <t>candidate-9baf7d1bdab0d44b</t>
  </si>
  <si>
    <t>component-b05dede3cc69c830</t>
  </si>
  <si>
    <t>TP31v2d41Oo44wpoDC7HWCwl</t>
  </si>
  <si>
    <t>urn:openrag:openarchiver:email:9e325a3e-b01f-40bf-8890-b400d4e3d7f4:d0826233-e246-43f0-8a23-71995a28ef37</t>
  </si>
  <si>
    <t>Votre formulaire envoyé à Orange Wholesale France</t>
  </si>
  <si>
    <t>candidate-9bd8daa0e065cbe9</t>
  </si>
  <si>
    <t>xj0coR7MK6pHP5IJ2gl6cXFy</t>
  </si>
  <si>
    <t>urn:openrag:openarchiver:email:6ca4c5b5-3440-4c50-8666-cecfa25916d5:bf0044df-7b4b-48c0-89f8-ecfaa2450716</t>
  </si>
  <si>
    <t>2211 modifié</t>
  </si>
  <si>
    <t>candidate-9ce9eb7be7b7aad6</t>
  </si>
  <si>
    <t>component-af3652bbebf8ca2e</t>
  </si>
  <si>
    <t>OskVLkvUZkMRzCcd1vgt9sbo</t>
  </si>
  <si>
    <t>urn:openrag:openarchiver:email:6ca4c5b5-3440-4c50-8666-cecfa25916d5:7cd1f613-8057-4d14-b1f5-9bf94c90eaff</t>
  </si>
  <si>
    <t>candidate-9e630ecc5ef1bebc</t>
  </si>
  <si>
    <t>bwpHX_9jWWAdM-SfdpYzVWnA</t>
  </si>
  <si>
    <t>urn:openrag:openarchiver:email:6ca4c5b5-3440-4c50-8666-cecfa25916d5:ad285480-b87e-4a04-beb5-611eea71299c</t>
  </si>
  <si>
    <t>candidate-9e6ecb28a2fe7d00</t>
  </si>
  <si>
    <t>bPYcYLEmWpebwFsRn_HY-FSX</t>
  </si>
  <si>
    <t>urn:openrag:openarchiver:email:6ca4c5b5-3440-4c50-8666-cecfa25916d5:4d3e6619-6118-4f20-a4f8-983e27c44135</t>
  </si>
  <si>
    <t>yeGGYRaTdIUBP9z7PbJdsu69</t>
  </si>
  <si>
    <t>urn:openrag:openarchiver:email:9e325a3e-b01f-40bf-8890-b400d4e3d7f4:388d6c49-a48f-4e0c-bcd0-aee5444bff72</t>
  </si>
  <si>
    <t>candidate-9f26ef0cd38ec90a</t>
  </si>
  <si>
    <t>eMaDK3vTtJXVW96SuPsHzf0o</t>
  </si>
  <si>
    <t>urn:openrag:openarchiver:attachment:081984aa-97f5-4d6e-895e-31a544392bcd</t>
  </si>
  <si>
    <t>2605_18_RECAPITULATIF CONTRACTUEL.pdf</t>
  </si>
  <si>
    <t>candidate-9f610ff2f381d9f8</t>
  </si>
  <si>
    <t>component-5123b36f7e3613df</t>
  </si>
  <si>
    <t>PjW7VrDtb82qcNidM2vkbSxx</t>
  </si>
  <si>
    <t>urn:openrag:openarchiver:email:6ca4c5b5-3440-4c50-8666-cecfa25916d5:995bd202-3610-4934-9228-51db090b622f</t>
  </si>
  <si>
    <t>Accédez à internet chez vous et soyez satisfait ou remboursé &gt;&gt;&gt; Tout savoir ICI</t>
  </si>
  <si>
    <t>candidate-9f86222ca171737b</t>
  </si>
  <si>
    <t>component-e3cb63c25826a0dc</t>
  </si>
  <si>
    <t>v3cNWN7T3ArkDf0YTI4hDYvg</t>
  </si>
  <si>
    <t>urn:openrag:openarchiver:attachment:098cf048-59cc-425f-a19b-d9f5f66a4441</t>
  </si>
  <si>
    <t>250915-facture_9073083280_2025-09-04.pdf</t>
  </si>
  <si>
    <t>candidate-9fb3fb3232266608</t>
  </si>
  <si>
    <t>component-f6d7c9a6ce380c4f</t>
  </si>
  <si>
    <t>LIGEKwBphQLoYROgu2aPUwIn</t>
  </si>
  <si>
    <t>urn:openrag:openarchiver:email:6ca4c5b5-3440-4c50-8666-cecfa25916d5:c28088fe-7354-4407-963d-dd4101230313</t>
  </si>
  <si>
    <t>Confirmation pour votre voyage AIX EN PROVENCE TGV - PARIS, aller le 23 déc.</t>
  </si>
  <si>
    <t>wNzAE2XzJhm16Pl65jz6AVUp</t>
  </si>
  <si>
    <t>urn:openrag:openarchiver:attachment:3a610079-d9a2-44c5-94e9-3cb61bd0e05c</t>
  </si>
  <si>
    <t>OlVwGfRqZ5z-jCMGzkGXeQVk</t>
  </si>
  <si>
    <t>urn:openrag:openarchiver:email:9e325a3e-b01f-40bf-8890-b400d4e3d7f4:3ade16fd-43ec-4aaa-be64-e0d0f2ac9ea7</t>
  </si>
  <si>
    <t>-dABJIS9aApQnVwz2vN6rM9j</t>
  </si>
  <si>
    <t>urn:openrag:openarchiver:email:9e325a3e-b01f-40bf-8890-b400d4e3d7f4:4bdb2d50-5d08-422d-8a04-28c9e2882f5e</t>
  </si>
  <si>
    <t>candidate-a2e61e042c7b9704</t>
  </si>
  <si>
    <t>component-4323b0f6ef42140c</t>
  </si>
  <si>
    <t>ep5LGi0REKje6VmSfNWqI_uu</t>
  </si>
  <si>
    <t>urn:openrag:openarchiver:email:6ca4c5b5-3440-4c50-8666-cecfa25916d5:a49c47da-ca0f-4bc1-8484-f93d4d0e4829</t>
  </si>
  <si>
    <t>candidate-a2fd652704e8ecc7</t>
  </si>
  <si>
    <t>hGoO54xQ5QtqErPHQhwFLboN</t>
  </si>
  <si>
    <t>urn:openrag:openarchiver:attachment:2c89bdd8-0682-4cee-ae5b-074e368b9d0f</t>
  </si>
  <si>
    <t>Facture #LIVET_CIR_23.pdf</t>
  </si>
  <si>
    <t>candidate-a539930ef709a3bf</t>
  </si>
  <si>
    <t>component-e33bffc9f65ada29</t>
  </si>
  <si>
    <t>wKKSmD89soY4ag1a8bGn0aIK</t>
  </si>
  <si>
    <t>urn:openrag:openarchiver:attachment:49c2f86d-0c59-4940-adf5-689763bd4832</t>
  </si>
  <si>
    <t>ESSAI CHAPON R&amp;D notes du 26 fevrier 2016.pdf</t>
  </si>
  <si>
    <t>iXAt_YeDTC7-4Mx1ratkfMBU</t>
  </si>
  <si>
    <t>urn:openrag:openarchiver:attachment:2123382e-c5f9-454e-916f-d39911b9070b</t>
  </si>
  <si>
    <t>m4Koqp63psHBut57w-bZyf1P</t>
  </si>
  <si>
    <t>urn:openrag:openarchiver:attachment:27539d50-3f4c-4dd4-9eb0-32479ca9ad8b</t>
  </si>
  <si>
    <t>candidate-a6bb7140bf4b1f04</t>
  </si>
  <si>
    <t>4qvTk2N6eGDyRaA5Hydur5Bt</t>
  </si>
  <si>
    <t>urn:openrag:openarchiver:attachment:1807fe49-96ed-45f8-90b9-407425186bee</t>
  </si>
  <si>
    <t>grand_livre.pdf</t>
  </si>
  <si>
    <t>candidate-a6cedfeae9f35307</t>
  </si>
  <si>
    <t>component-1fbe1032b89fb148</t>
  </si>
  <si>
    <t>uyPLqKRTAhHeI1Vc76wpoaAh</t>
  </si>
  <si>
    <t>urn:openrag:openarchiver:email:9e325a3e-b01f-40bf-8890-b400d4e3d7f4:ca9a4eb1-f27e-4cee-a488-46dec1d759d1</t>
  </si>
  <si>
    <t>Re: Game Fair 2025 - Concours Agneaux</t>
  </si>
  <si>
    <t>candidate-a880659654b9c8d5</t>
  </si>
  <si>
    <t>component-ec0628ac32f203f0</t>
  </si>
  <si>
    <t>Fg-Xb8RdJkua7P5rKzvSzK_L</t>
  </si>
  <si>
    <t>urn:openrag:openarchiver:email:6ca4c5b5-3440-4c50-8666-cecfa25916d5:c30d60d8-dabb-4cee-a915-23846448828a</t>
  </si>
  <si>
    <t>suivez votre dossier sur sosh.fr</t>
  </si>
  <si>
    <t>candidate-a8ffbb7981546d11</t>
  </si>
  <si>
    <t>component-5778fdda66ecb48c</t>
  </si>
  <si>
    <t>YqVrrO1R1q3mWwog2rBLPQr9</t>
  </si>
  <si>
    <t>urn:openrag:openarchiver:email:9e325a3e-b01f-40bf-8890-b400d4e3d7f4:d2e05699-9ec5-4ed5-bce1-99ac1a1a566d</t>
  </si>
  <si>
    <t>Nous avons bien reçu vos équipements</t>
  </si>
  <si>
    <t>candidate-a999bb2237609db8</t>
  </si>
  <si>
    <t>JvWuG81dQd83bylI_x-La-gr</t>
  </si>
  <si>
    <t>urn:openrag:openarchiver:email:9e325a3e-b01f-40bf-8890-b400d4e3d7f4:c61ca45f-40cd-47d9-bcd8-19679b4e341a</t>
  </si>
  <si>
    <t>Re: NOFU - mémoire en réponse enquête publique</t>
  </si>
  <si>
    <t>candidate-aa4de59b64552a94</t>
  </si>
  <si>
    <t>component-3b4608b8c4b2cfe9</t>
  </si>
  <si>
    <t>lRvbYpEO27rYV6aHtrVDNcv2</t>
  </si>
  <si>
    <t>urn:openrag:openarchiver:email:6ca4c5b5-3440-4c50-8666-cecfa25916d5:d45ffdc4-2e6e-4381-ae43-3fa595abaded</t>
  </si>
  <si>
    <t>SK5WnlblPfefk2dHAsRn8Flu</t>
  </si>
  <si>
    <t>urn:openrag:openarchiver:attachment:522f3816-e11f-42ee-814d-b366dabbdc6d</t>
  </si>
  <si>
    <t>candidate-ab95b95f5e3fb958</t>
  </si>
  <si>
    <t>bBIRc1DNYioWkt8sJOpKJ0U-</t>
  </si>
  <si>
    <t>urn:openrag:openarchiver:email:9e325a3e-b01f-40bf-8890-b400d4e3d7f4:64fc0b0c-814a-4373-9c5c-c436aa86a9d5</t>
  </si>
  <si>
    <t>RE: Message depuis milkywan.fr de Eloi Primaux</t>
  </si>
  <si>
    <t>candidate-abc9d7a0a9fb85d6</t>
  </si>
  <si>
    <t>component-80f972b3a9b33f0f</t>
  </si>
  <si>
    <t>TAcY7ZVQnG5yFXuzkZ7EdNMX</t>
  </si>
  <si>
    <t>urn:openrag:openarchiver:email:6ca4c5b5-3440-4c50-8666-cecfa25916d5:4a45a927-5058-446f-8694-f358fa8bc085</t>
  </si>
  <si>
    <t>candidate-ac6698356b07eae7</t>
  </si>
  <si>
    <t>elDap-UTRRscuTdHC4aPzh6A</t>
  </si>
  <si>
    <t>urn:openrag:openarchiver:attachment:42dcfa6b-1943-4eb0-8899-c926cfdfa012</t>
  </si>
  <si>
    <t>candidate-adc1c401e5a1c9a6</t>
  </si>
  <si>
    <t>-u4VvN3UL2dfWNOYF-rMLWm0</t>
  </si>
  <si>
    <t>urn:openrag:openarchiver:attachment:6a064fae-81e8-41c3-aa11-ee2f6afadbfb</t>
  </si>
  <si>
    <t>Facture_Free_202604_34171985_1464161991.pdf</t>
  </si>
  <si>
    <t>candidate-add953c86e344eef</t>
  </si>
  <si>
    <t>StsU8wRlY3as-0g8xO9nxB68</t>
  </si>
  <si>
    <t>urn:openrag:openarchiver:attachment:77d8c9bc-9e71-4e73-bf47-42df648bb1b3</t>
  </si>
  <si>
    <t>Conditions Particulieres 16546922672412634AA4656824127AEAF531D7F116EF8.pdf</t>
  </si>
  <si>
    <t>candidate-ae0cdc0480ffb64c</t>
  </si>
  <si>
    <t>5wfCvj2kHeAgUP9Bvs0BJmXg</t>
  </si>
  <si>
    <t>urn:openrag:openarchiver:attachment:46b4c39d-ee67-47b0-bf2a-6cdfdc33a161</t>
  </si>
  <si>
    <t>candidate-af1c8462975d1ed4</t>
  </si>
  <si>
    <t>component-613a21d2efb32a4b</t>
  </si>
  <si>
    <t>hUgUVzJjeU8wXbun4R1xHPfy</t>
  </si>
  <si>
    <t>urn:openrag:openarchiver:email:9e325a3e-b01f-40bf-8890-b400d4e3d7f4:3dfb75cf-bd57-480e-910c-6f26504534c4</t>
  </si>
  <si>
    <t>Re: Groupe de com - Conception des prochains outils</t>
  </si>
  <si>
    <t>candidate-afe4db41034b4a3c</t>
  </si>
  <si>
    <t>lnJWqDKWeZyjPu9CUzHOLyqe</t>
  </si>
  <si>
    <t>urn:openrag:openarchiver:attachment:1ea3dfb8-e2a5-49fb-ac50-9e38f80f62e6</t>
  </si>
  <si>
    <t>brochure_tarifaire_20240130.pdf</t>
  </si>
  <si>
    <t>candidate-b14ae3860ba75ed5</t>
  </si>
  <si>
    <t>component-ef2d0839e8fc8d5c</t>
  </si>
  <si>
    <t>GQoj0SuZDm0dfg-fMqcrEDQ3</t>
  </si>
  <si>
    <t>urn:openrag:openarchiver:email:9e325a3e-b01f-40bf-8890-b400d4e3d7f4:9d456d92-6f0b-4071-bb19-066063224bc8</t>
  </si>
  <si>
    <t>[Free] Votre abonnement Freebox - Photographie de votre prise fibre (PTO)</t>
  </si>
  <si>
    <t>candidate-b3dc8d927077c138</t>
  </si>
  <si>
    <t>component-715bf10d44a4a3ee</t>
  </si>
  <si>
    <t>hdUpquAj-kvllR3tdqiQCw8R</t>
  </si>
  <si>
    <t>urn:openrag:openarchiver:email:6ca4c5b5-3440-4c50-8666-cecfa25916d5:49732f03-0b3e-4052-97ae-7dbbfaabc7aa</t>
  </si>
  <si>
    <t>ryX_eV32mi1b25ZWNqG8silP</t>
  </si>
  <si>
    <t>urn:openrag:openarchiver:email:9e325a3e-b01f-40bf-8890-b400d4e3d7f4:01efb190-9a29-49cc-af8b-678aebb01ef4</t>
  </si>
  <si>
    <t>igxcxoTdGWv1jq0szJWB7R07</t>
  </si>
  <si>
    <t>urn:openrag:openarchiver:email:9e325a3e-b01f-40bf-8890-b400d4e3d7f4:3d8aba13-772b-48a4-a268-ef2f3597c347</t>
  </si>
  <si>
    <t>candidate-b5e6533ecfbbfafe</t>
  </si>
  <si>
    <t>component-71c402ec9874a433</t>
  </si>
  <si>
    <t>as0iOJg69_0vOfm-FZ_oD0d0</t>
  </si>
  <si>
    <t>urn:openrag:openarchiver:email:9e325a3e-b01f-40bf-8890-b400d4e3d7f4:27900980-f814-425d-93d7-38c6da9fc060</t>
  </si>
  <si>
    <t>Re: Voitures</t>
  </si>
  <si>
    <t>candidate-b5fbdaeaa9e060f6</t>
  </si>
  <si>
    <t>cNIqOVh7B5kYYp6rNCJQGXYz</t>
  </si>
  <si>
    <t>urn:openrag:openarchiver:attachment:1b5a9678-0c59-4310-88e6-042acdf3f3cd</t>
  </si>
  <si>
    <t>Demande de documents.xlsx</t>
  </si>
  <si>
    <t>candidate-b5fef33d2b24c7ea</t>
  </si>
  <si>
    <t>component-a00644b790d64913</t>
  </si>
  <si>
    <t>DruJmnWlI-s9uEwWlmekDsFh</t>
  </si>
  <si>
    <t>urn:openrag:openarchiver:email:9e325a3e-b01f-40bf-8890-b400d4e3d7f4:52afe025-d013-47ab-9568-fd5cdf7ab7e9</t>
  </si>
  <si>
    <t>Re: Paturesens -Groupe SHSologne - formation gestion printemps ça continue</t>
  </si>
  <si>
    <t>6hEGQXIv1615Y2FxJX7iRA6E</t>
  </si>
  <si>
    <t>urn:openrag:openarchiver:email:9e325a3e-b01f-40bf-8890-b400d4e3d7f4:67244b45-0ea1-4ee5-8eaf-067164cc1242</t>
  </si>
  <si>
    <t>candidate-b72cba5b5cbad1fb</t>
  </si>
  <si>
    <t>component-b55f09fbe2f566ad</t>
  </si>
  <si>
    <t>vR-QrhVUkmie8qCI1ScFwLnw</t>
  </si>
  <si>
    <t>urn:openrag:openarchiver:email:6ca4c5b5-3440-4c50-8666-cecfa25916d5:f9b1c988-7fb2-4c44-be2b-7a1f9ac741dc</t>
  </si>
  <si>
    <t>candidate-b72d96d05ea33961</t>
  </si>
  <si>
    <t>sV_ZWjmCJpV1ejz9NRCqj21f</t>
  </si>
  <si>
    <t>urn:openrag:openarchiver:attachment:72345025-8d0c-41cc-b2ff-e811cacee3f4</t>
  </si>
  <si>
    <t>candidate-b7816406ec3b1756</t>
  </si>
  <si>
    <t>component-aa34271a690068b1</t>
  </si>
  <si>
    <t>mazmiMCcr4h9tBT7AbBT6jDu</t>
  </si>
  <si>
    <t>urn:openrag:openarchiver:email:6ca4c5b5-3440-4c50-8666-cecfa25916d5:fe79a915-a946-4280-adff-91e4880c0e51</t>
  </si>
  <si>
    <t>candidate-b7b3960fdecfbff0</t>
  </si>
  <si>
    <t>component-eafc15b16e1b8f63</t>
  </si>
  <si>
    <t>WbKewzV5rjHvmdl5yHGuvceS</t>
  </si>
  <si>
    <t>urn:openrag:openarchiver:email:6ca4c5b5-3440-4c50-8666-cecfa25916d5:2c81c087-dc3a-4066-9c7f-bff30df7df34</t>
  </si>
  <si>
    <t>Incident sur le réseau mobile Sosh</t>
  </si>
  <si>
    <t>candidate-b9a3185af99d8fb2</t>
  </si>
  <si>
    <t>component-b8c70e09a51f49bb</t>
  </si>
  <si>
    <t>XU0duuhbnUuy4IG7gxe4MkV7</t>
  </si>
  <si>
    <t>urn:openrag:openarchiver:email:6ca4c5b5-3440-4c50-8666-cecfa25916d5:27f8e0ad-0ce5-4abc-ab39-8c46a4c09683</t>
  </si>
  <si>
    <t>candidate-bb6ecfc5ab9e462a</t>
  </si>
  <si>
    <t>component-5c5f0371f4159308</t>
  </si>
  <si>
    <t>nhjesurrr6R8n_4OV9dXTYG4</t>
  </si>
  <si>
    <t>urn:openrag:openarchiver:email:6ca4c5b5-3440-4c50-8666-cecfa25916d5:65c7f248-31b6-487b-8639-84272da7d5ae</t>
  </si>
  <si>
    <t>Confirmation de l'ajout du contrat internet 761056851 dans votre Espace client</t>
  </si>
  <si>
    <t>candidate-bbe5838d344323c5</t>
  </si>
  <si>
    <t>toSG_PseSLuWpeauBt2obIB6</t>
  </si>
  <si>
    <t>urn:openrag:openarchiver:attachment:31da24ba-1ce2-4322-a009-30ca0492763a</t>
  </si>
  <si>
    <t>Facture #GGS_CII_24.pdf</t>
  </si>
  <si>
    <t>candidate-bce7004ecbca8d27</t>
  </si>
  <si>
    <t>component-8bc07eb57739820e</t>
  </si>
  <si>
    <t>Pgm4JWKy_sSZTfnD2OUQTMPT</t>
  </si>
  <si>
    <t>urn:openrag:openarchiver:email:9e325a3e-b01f-40bf-8890-b400d4e3d7f4:7dcb3517-49ae-4c4a-8112-f7f728e4fb2d</t>
  </si>
  <si>
    <t>candidate-bcf542876d3b3c95</t>
  </si>
  <si>
    <t>f_qBg4zrxKUv8U7LRoxOTg1V</t>
  </si>
  <si>
    <t>urn:openrag:openarchiver:email:9e325a3e-b01f-40bf-8890-b400d4e3d7f4:3506bbb8-e525-460f-8617-55cee19d408b</t>
  </si>
  <si>
    <t>mail--3506bbb8e525.eml</t>
  </si>
  <si>
    <t>candidate-bd164f889607aa64</t>
  </si>
  <si>
    <t>component-bb5aa9a0ed884760</t>
  </si>
  <si>
    <t>N_cpPS2tH6uqH7wMsFt0rDdo</t>
  </si>
  <si>
    <t>urn:openrag:openarchiver:attachment:5b3f77d8-2a24-43ce-8020-790443e97954</t>
  </si>
  <si>
    <t>candidate-bd9080575f476de5</t>
  </si>
  <si>
    <t>component-9ed71fb0d1cb8ac3</t>
  </si>
  <si>
    <t>mvkVOQDJ3NyUvdsJt_7wUhMo</t>
  </si>
  <si>
    <t>urn:openrag:openarchiver:email:6ca4c5b5-3440-4c50-8666-cecfa25916d5:6dbe2d49-ff33-4bfd-8df7-d44f88b8a212</t>
  </si>
  <si>
    <t>WgDlKEoSpa5ZF3sMBmIIdq3b</t>
  </si>
  <si>
    <t>urn:openrag:openarchiver:email:6ca4c5b5-3440-4c50-8666-cecfa25916d5:2f71cc68-1039-4cfe-b332-7806d76a9ed0</t>
  </si>
  <si>
    <t>candidate-bfdec2400d257114</t>
  </si>
  <si>
    <t>component-a8df13cdbfe9b7a2</t>
  </si>
  <si>
    <t>W5zbsAW6r2RRieRHBP_IREYX</t>
  </si>
  <si>
    <t>urn:openrag:openarchiver:email:9e325a3e-b01f-40bf-8890-b400d4e3d7f4:2308befc-9c3f-474a-b63e-ace955d949ed</t>
  </si>
  <si>
    <t>Le sale coup anti-manifestations, actualité Mauvais esprit : Le Point</t>
  </si>
  <si>
    <t>candidate-c108b844f562eee2</t>
  </si>
  <si>
    <t>component-b7b671ba2d10e758</t>
  </si>
  <si>
    <t>P1Gj6qYrkn0E_-kcVRKSx8aa</t>
  </si>
  <si>
    <t>urn:openrag:openarchiver:email:9e325a3e-b01f-40bf-8890-b400d4e3d7f4:a686386e-219b-4919-89d8-b71708dc25f1</t>
  </si>
  <si>
    <t>candidate-c159e39447d3941e</t>
  </si>
  <si>
    <t>component-73c69e9de3d42ece</t>
  </si>
  <si>
    <t>WFJoO_rLTPZy_WVPelyp8Kmc</t>
  </si>
  <si>
    <t>urn:openrag:openarchiver:email:9e325a3e-b01f-40bf-8890-b400d4e3d7f4:737a56b8-9058-46ee-b8c3-65b12a608121</t>
  </si>
  <si>
    <t>Information concernant votre rendez-vous d'installation Fibre</t>
  </si>
  <si>
    <t>OgDXiyHktyKQf_aOQw0xgZKx</t>
  </si>
  <si>
    <t>urn:openrag:openarchiver:attachment:443915bd-47e1-487f-824f-f27a249092f3</t>
  </si>
  <si>
    <t>candidate-c1a46bc4c15d8da2</t>
  </si>
  <si>
    <t>t_HE8KNtSe7J0Qmo_iivOmHI</t>
  </si>
  <si>
    <t>urn:openrag:openarchiver:attachment:03b41205-9026-4c74-8169-5ac36f056a23</t>
  </si>
  <si>
    <t>candidate-c1d432d4df62c063</t>
  </si>
  <si>
    <t>component-9d5aad5537ff3d05</t>
  </si>
  <si>
    <t>hou2xuixVVUN516f0D_z8zuP</t>
  </si>
  <si>
    <t>urn:openrag:openarchiver:email:9e325a3e-b01f-40bf-8890-b400d4e3d7f4:7e10a6c3-6dc4-43a3-aee5-10a7bce88958</t>
  </si>
  <si>
    <t>Eloi Primaux La Fibre à prix CANON, on y va avec Bouygues Telecom(1)</t>
  </si>
  <si>
    <t>candidate-c1d6527286651499</t>
  </si>
  <si>
    <t>component-3f66d54f739b81f1</t>
  </si>
  <si>
    <t>8hDQsRulV9rG7YL5ZY3kSz-x</t>
  </si>
  <si>
    <t>urn:openrag:openarchiver:email:9e325a3e-b01f-40bf-8890-b400d4e3d7f4:496d75c1-5e4e-4d33-8b34-ee6a2f05a27f</t>
  </si>
  <si>
    <t>candidate-c2db37a255ae4454</t>
  </si>
  <si>
    <t>66WaF8e5beNMHsqam5zfrOGJ</t>
  </si>
  <si>
    <t>urn:openrag:openarchiver:email:6ca4c5b5-3440-4c50-8666-cecfa25916d5:50c5f166-a6e4-4134-9223-ec199ce75634</t>
  </si>
  <si>
    <t>candidate-c3ec821be76e0074</t>
  </si>
  <si>
    <t>xsMnrMVGM4bMdAYUBcaKxqsP</t>
  </si>
  <si>
    <t>urn:openrag:openarchiver:email:6ca4c5b5-3440-4c50-8666-cecfa25916d5:6b24a2ec-d246-4e86-9111-91f7c425aa6b</t>
  </si>
  <si>
    <t>candidate-c3f07235e1993bed</t>
  </si>
  <si>
    <t>divlziFZfocNHdvgmyPIKcM6</t>
  </si>
  <si>
    <t>urn:openrag:openarchiver:email:9e325a3e-b01f-40bf-8890-b400d4e3d7f4:5966c0ee-a014-4a4a-9dd4-40f88ffd98c4</t>
  </si>
  <si>
    <t>candidate-c51e87e4fffd7124</t>
  </si>
  <si>
    <t>component-058e4653f377142c</t>
  </si>
  <si>
    <t>eNiun-xsGa05zLjanZbIIu64</t>
  </si>
  <si>
    <t>urn:openrag:openarchiver:attachment:2f5c7a82-0e21-404f-ba46-130275d0968e</t>
  </si>
  <si>
    <t>dossier_22.pdf</t>
  </si>
  <si>
    <t>candidate-c618dbd6a3adba1d</t>
  </si>
  <si>
    <t>wQTikpWqjKJtz6WK-YPdNskw</t>
  </si>
  <si>
    <t>urn:openrag:openarchiver:attachment:3342f482-cf17-4177-9838-23e91e7ec916</t>
  </si>
  <si>
    <t>GUIDE_TARIFS.pdf</t>
  </si>
  <si>
    <t>NUIl39JG6qAtn7mPsEZ9Wl6t</t>
  </si>
  <si>
    <t>urn:openrag:openarchiver:attachment:087411be-b2fd-43a7-8046-efddb62187fa</t>
  </si>
  <si>
    <t>candidate-c658d5962e2b6103</t>
  </si>
  <si>
    <t>component-33fd4c0d00e72722</t>
  </si>
  <si>
    <t>F4S6daLoO79SVJ8gHxB-VDvG</t>
  </si>
  <si>
    <t>urn:openrag:openarchiver:email:6ca4c5b5-3440-4c50-8666-cecfa25916d5:3cd6d919-867b-475e-b155-92e0ec386879</t>
  </si>
  <si>
    <t>candidate-c6edd936cdf5e4c2</t>
  </si>
  <si>
    <t>component-988057439660e65e</t>
  </si>
  <si>
    <t>BXx-M1dNTfzkWd9v8Rnse-SY</t>
  </si>
  <si>
    <t>urn:openrag:openarchiver:email:9e325a3e-b01f-40bf-8890-b400d4e3d7f4:ea843f3b-e565-41b0-ba78-615f1cae5118</t>
  </si>
  <si>
    <t>Plus que 2 jours pour changer d'avis</t>
  </si>
  <si>
    <t>candidate-c7169e9b6f074287</t>
  </si>
  <si>
    <t>component-1b91797f9a9dab97</t>
  </si>
  <si>
    <t>B5Dq4Rj57a6Y3JXs2luWxN_3</t>
  </si>
  <si>
    <t>urn:openrag:openarchiver:email:6ca4c5b5-3440-4c50-8666-cecfa25916d5:cb5c0277-d9fc-49e1-89e7-108f2ed8e96c</t>
  </si>
  <si>
    <t>ELAN - Crédit Impôt Innovation (CII)</t>
  </si>
  <si>
    <t>candidate-c7eae3390cfdf5f7</t>
  </si>
  <si>
    <t>component-4c32544a4833d8f0</t>
  </si>
  <si>
    <t>YlFa4WzYPBygyVPMsl0tOIkv</t>
  </si>
  <si>
    <t>urn:openrag:openarchiver:email:6ca4c5b5-3440-4c50-8666-cecfa25916d5:dd169e10-c847-4316-93ad-2ecab3dd45ec</t>
  </si>
  <si>
    <t>candidate-c84def48f5607871</t>
  </si>
  <si>
    <t>component-0e1296a2dd420060</t>
  </si>
  <si>
    <t>nR1RhT2dbLaSugVfNw6hAJe7</t>
  </si>
  <si>
    <t>urn:openrag:openarchiver:attachment:163402ed-e853-4972-9b6f-213d9c39d4b8</t>
  </si>
  <si>
    <t>250414-facture_9073083280_2025-04-04.pdf</t>
  </si>
  <si>
    <t>candidate-c960350d5bb5d32e</t>
  </si>
  <si>
    <t>component-3737ca83bfdb5631</t>
  </si>
  <si>
    <t>cRMCelNqRo-e98kvfyT4qjqK</t>
  </si>
  <si>
    <t>urn:openrag:openarchiver:attachment:48d68809-9a82-4e88-a2e9-c1c3f409f0c6</t>
  </si>
  <si>
    <t>RUMISOFT TM-FR.pdf</t>
  </si>
  <si>
    <t>candidate-c9df9a0a7846d5e0</t>
  </si>
  <si>
    <t>Sokth27MBwj6rXBJFMiQbtow</t>
  </si>
  <si>
    <t>urn:openrag:openarchiver:email:6ca4c5b5-3440-4c50-8666-cecfa25916d5:8c6142b2-7324-4011-839c-475e16e008e1</t>
  </si>
  <si>
    <t>candidate-caf900e9c03f761e</t>
  </si>
  <si>
    <t>6w11pbx9Ey1fNseAphRtPwPf</t>
  </si>
  <si>
    <t>urn:openrag:openarchiver:attachment:776aa468-56d3-49e8-8498-22f54454bf5e</t>
  </si>
  <si>
    <t>Facture_Free_202506_34171985_1388367233.pdf</t>
  </si>
  <si>
    <t>I7034vokk8gQFuK6IlXdWeAC</t>
  </si>
  <si>
    <t>urn:openrag:openarchiver:email:9e325a3e-b01f-40bf-8890-b400d4e3d7f4:30aebe68-472b-43d7-a570-9603eaca3dc1</t>
  </si>
  <si>
    <t>candidate-d0f3d08ca81b392f</t>
  </si>
  <si>
    <t>component-f9afc687b47b4a7f</t>
  </si>
  <si>
    <t>HNvafDGg2bMLJ9Weu1ScZE9f</t>
  </si>
  <si>
    <t>urn:openrag:openarchiver:email:6ca4c5b5-3440-4c50-8666-cecfa25916d5:acbb40b8-d571-48a8-b072-c2d8c8777a9b</t>
  </si>
  <si>
    <t>Votre commande Amazon.fr : Orange TV.</t>
  </si>
  <si>
    <t>candidate-d1dc902c5428f2ea</t>
  </si>
  <si>
    <t>CSErmd2yf__SIlUXCK4xE9H_</t>
  </si>
  <si>
    <t>urn:openrag:openarchiver:email:9e325a3e-b01f-40bf-8890-b400d4e3d7f4:71fc1bf8-c33a-4667-98a9-06756aeb1b18</t>
  </si>
  <si>
    <t>Re: Entrées CE Solognot</t>
  </si>
  <si>
    <t>candidate-d209810e9f425774</t>
  </si>
  <si>
    <t>component-b296f134662dfaf4</t>
  </si>
  <si>
    <t>-amXDCPuV55co7T0XCaaj0ST</t>
  </si>
  <si>
    <t>urn:openrag:openarchiver:email:6ca4c5b5-3440-4c50-8666-cecfa25916d5:4dbf98c7-3601-49d9-8bf2-4777f696f24c</t>
  </si>
  <si>
    <t>#Restezchezvous : votre espace client est là pour vous aider.</t>
  </si>
  <si>
    <t>candidate-d22867c56c8af99c</t>
  </si>
  <si>
    <t>FwFAd6xTLM6Duylk7xRc_vRx</t>
  </si>
  <si>
    <t>urn:openrag:openarchiver:attachment:0d4d55e7-4b8d-410d-8ed6-155063b3f168</t>
  </si>
  <si>
    <t>TELWAN - Conditions Generales de Souscription Entreprise - CGV-PRO-01012011ed2 .pdf</t>
  </si>
  <si>
    <t>DAp48rm_R3WcGL6yg8mS6Aou</t>
  </si>
  <si>
    <t>urn:openrag:openarchiver:attachment:25cef0da-c7cf-4aa2-afc1-f507050c5194</t>
  </si>
  <si>
    <t>candidate-d2f1a9f3da3438ab</t>
  </si>
  <si>
    <t>component-0bf411051fad09ed</t>
  </si>
  <si>
    <t>u1u-xWOsF7BOZxdWFZWoXnSE</t>
  </si>
  <si>
    <t>urn:openrag:openarchiver:attachment:0900d001-dba7-46c2-9e75-11d7f5595af6</t>
  </si>
  <si>
    <t>facture_9073083280_2024-06-04.pdf</t>
  </si>
  <si>
    <t>candidate-d354fbe2049c1b6b</t>
  </si>
  <si>
    <t>O6WXlS1o88QrkCXTvpN-gaQw</t>
  </si>
  <si>
    <t>urn:openrag:openarchiver:email:9e325a3e-b01f-40bf-8890-b400d4e3d7f4:6f2a764c-ecac-43b7-b252-669aff40f045</t>
  </si>
  <si>
    <t>candidate-d48be2d6655a4196</t>
  </si>
  <si>
    <t>component-1864edbfec1e3557</t>
  </si>
  <si>
    <t>ZrzuLowfbxMutjI3DYCZOgTs</t>
  </si>
  <si>
    <t>urn:openrag:openarchiver:email:6ca4c5b5-3440-4c50-8666-cecfa25916d5:f88732e1-7a00-4149-97c2-8c0016801331</t>
  </si>
  <si>
    <t>Confirmation pour votre voyage SALBRIS - PARIS, aller le 06 avr., retour le 14 avr.</t>
  </si>
  <si>
    <t>Nd4fKl1y85SQ-pfeTKzfE0lx</t>
  </si>
  <si>
    <t>urn:openrag:openarchiver:email:9e325a3e-b01f-40bf-8890-b400d4e3d7f4:2e347a2b-edca-4ee6-bfd5-032e406699bc</t>
  </si>
  <si>
    <t>candidate-d64d23a4671ea96a</t>
  </si>
  <si>
    <t>component-3e9370d839088ebe</t>
  </si>
  <si>
    <t>nTiSgBMs5N3kSbPrStRSASkX</t>
  </si>
  <si>
    <t>urn:openrag:openarchiver:email:6ca4c5b5-3440-4c50-8666-cecfa25916d5:8bb5401c-9b97-46a3-90b2-66f06b5bdab8</t>
  </si>
  <si>
    <t>candidate-d6a6aaf5adc26b81</t>
  </si>
  <si>
    <t>MVB8R1o6JjsEDtC2OM_zGd8B</t>
  </si>
  <si>
    <t>urn:openrag:openarchiver:email:9e325a3e-b01f-40bf-8890-b400d4e3d7f4:48165b76-7d70-4d5a-9832-322475cfb51b</t>
  </si>
  <si>
    <t>Votre message a bien été reçu - (Proposition de partenariat pour hébergement de nœud télécom à Nouan-le-Fuzeli[...]</t>
  </si>
  <si>
    <t>candidate-da783088f8126394</t>
  </si>
  <si>
    <t>component-572d45af61d7d861</t>
  </si>
  <si>
    <t>XJzr0suuoIwknoVVJpE6Bl4l</t>
  </si>
  <si>
    <t>urn:openrag:openarchiver:email:9e325a3e-b01f-40bf-8890-b400d4e3d7f4:a1a01481-e8c2-4df3-9198-ecdb05caa619</t>
  </si>
  <si>
    <t>Votre boîte Mail Orange ou Wanadoo va être supprimée</t>
  </si>
  <si>
    <t>candidate-dafe71a5b7d427ef</t>
  </si>
  <si>
    <t>cqrA4i17Px5TbTqUDYYmEBGm</t>
  </si>
  <si>
    <t>urn:openrag:openarchiver:attachment:293101e7-4a82-4190-b947-1785107fd7ff</t>
  </si>
  <si>
    <t>Grand livre classe 6.xlsx</t>
  </si>
  <si>
    <t>v7ByKQjqBbEQ_fzDU_Ec-ae0</t>
  </si>
  <si>
    <t>urn:openrag:openarchiver:attachment:25ab0416-11a7-49dc-9d14-984165d13993</t>
  </si>
  <si>
    <t>candidate-dd8d5b4845f028ed</t>
  </si>
  <si>
    <t>IuZ4ykT4hjRJxwRbPDeSREIo</t>
  </si>
  <si>
    <t>urn:openrag:openarchiver:email:9e325a3e-b01f-40bf-8890-b400d4e3d7f4:30b019f1-ceb6-418b-8917-ae170e53e814</t>
  </si>
  <si>
    <t>mail--30b019f1ceb6.eml</t>
  </si>
  <si>
    <t>candidate-ddde7948d67e606d</t>
  </si>
  <si>
    <t>RwgS_9a1kvJ-1Ct_rGqN-RHT</t>
  </si>
  <si>
    <t>urn:openrag:openarchiver:email:6ca4c5b5-3440-4c50-8666-cecfa25916d5:8e6b1398-32c0-45c8-8b9b-1ebeb52c1d3f</t>
  </si>
  <si>
    <t>candidate-dde0f3bcbd46879a</t>
  </si>
  <si>
    <t>component-45e87f09a7b2677b</t>
  </si>
  <si>
    <t>aNokF0Dyjl4vg0A8lPoi_Et9</t>
  </si>
  <si>
    <t>urn:openrag:openarchiver:email:6ca4c5b5-3440-4c50-8666-cecfa25916d5:79e0dbeb-7460-47d7-bca3-a120dd003866</t>
  </si>
  <si>
    <t>Confirmation de votre commande La Boîte Sosh Fibre</t>
  </si>
  <si>
    <t>candidate-df78304833af3fed</t>
  </si>
  <si>
    <t>Ygo8EvKPCkVy_po9AySXwVCu</t>
  </si>
  <si>
    <t>urn:openrag:openarchiver:email:9e325a3e-b01f-40bf-8890-b400d4e3d7f4:54f194d3-9416-4419-9337-7b44035a1a7b</t>
  </si>
  <si>
    <t>Convocation au Conseil d'Administration du 29-08-2025 &amp; Relance</t>
  </si>
  <si>
    <t>qATvrGn9Ohj0SP5QPj7P8ot4</t>
  </si>
  <si>
    <t>urn:openrag:openarchiver:email:6ca4c5b5-3440-4c50-8666-cecfa25916d5:191763dd-7a60-452d-a0e1-0337bb9a840f</t>
  </si>
  <si>
    <t>candidate-e0a772859f5de71b</t>
  </si>
  <si>
    <t>6lmpeWWJ8wZz4F05Qq-qoAWb</t>
  </si>
  <si>
    <t>urn:openrag:openarchiver:email:6ca4c5b5-3440-4c50-8666-cecfa25916d5:82806f58-1fc1-4bd6-9b07-c430a7e6cc10</t>
  </si>
  <si>
    <t>Documents CI</t>
  </si>
  <si>
    <t>candidate-e1256bec0202b501</t>
  </si>
  <si>
    <t>vyw2c8rVD90CVr9Ggip68ml_</t>
  </si>
  <si>
    <t>urn:openrag:openarchiver:attachment:34e1c7d6-85ba-4797-909b-fab7d27a301a</t>
  </si>
  <si>
    <t>Facture_Free_202509_34171985_1411038010.pdf</t>
  </si>
  <si>
    <t>candidate-e18db28bbbfb1a36</t>
  </si>
  <si>
    <t>53FzKSaT26vZQSh1__hzz3xp</t>
  </si>
  <si>
    <t>urn:openrag:openarchiver:attachment:1ae6bd0b-a239-421c-8e00-7dfc09c470e7</t>
  </si>
  <si>
    <t>FAQ-updatedAlgo-FR_V8.pdf</t>
  </si>
  <si>
    <t>candidate-e1fff26f6a35d806</t>
  </si>
  <si>
    <t>component-d04e549cef3dfa09</t>
  </si>
  <si>
    <t>O_yqZqru19Vn-6qm0T2ToiQB</t>
  </si>
  <si>
    <t>urn:openrag:openarchiver:email:6ca4c5b5-3440-4c50-8666-cecfa25916d5:97e886e0-7b41-4301-a18f-e6ea5a81bc20</t>
  </si>
  <si>
    <t>candidate-e2e222ec1b86bd0c</t>
  </si>
  <si>
    <t>bpJ-0WigQofIc5D8aQsaBBSQ</t>
  </si>
  <si>
    <t>urn:openrag:openarchiver:email:9e325a3e-b01f-40bf-8890-b400d4e3d7f4:949c7ccc-edc3-40c4-89df-4c3293a5307c</t>
  </si>
  <si>
    <t>cotisation 2020</t>
  </si>
  <si>
    <t>FxUIFNQod-8kJS--XQucKfLd</t>
  </si>
  <si>
    <t>urn:openrag:openarchiver:email:6ca4c5b5-3440-4c50-8666-cecfa25916d5:e6a91b6a-44d1-435e-9eb2-4e2981fbaf2f</t>
  </si>
  <si>
    <t>candidate-e3ff700b364a40fb</t>
  </si>
  <si>
    <t>uJO6Ka8a5LEksHHE9clr-TtW</t>
  </si>
  <si>
    <t>urn:openrag:openarchiver:attachment:5669dae4-0f23-47e0-8648-db7088995fa7</t>
  </si>
  <si>
    <t>xK6eR0UVMzO8k8BQMJXJrXKf</t>
  </si>
  <si>
    <t>urn:openrag:openarchiver:email:6ca4c5b5-3440-4c50-8666-cecfa25916d5:c8262a0f-c7d7-419a-903b-e482e51a1308</t>
  </si>
  <si>
    <t>candidate-e4c9760d202e0758</t>
  </si>
  <si>
    <t>component-bf5c30f103114add</t>
  </si>
  <si>
    <t>nT7s0f5XSUd5iptho5nChelx</t>
  </si>
  <si>
    <t>urn:openrag:openarchiver:email:9e325a3e-b01f-40bf-8890-b400d4e3d7f4:86ee4f15-e9c6-4b48-9ca3-f497e2be3cce</t>
  </si>
  <si>
    <t>candidate-e5b03613855173e9</t>
  </si>
  <si>
    <t>NNy-RiMEtCoFqeOrQjDK3EVg</t>
  </si>
  <si>
    <t>urn:openrag:openarchiver:attachment:10ca7340-959e-4c9c-a5b7-f2eee1f60b7f</t>
  </si>
  <si>
    <t>candidate-e60820356ff7d82f</t>
  </si>
  <si>
    <t>0BvbX0LJcLWQqPNtr5-WLzEt</t>
  </si>
  <si>
    <t>urn:openrag:openarchiver:attachment:0cf956ee-12a7-40e2-9e70-caef39617b87</t>
  </si>
  <si>
    <t>candidate-e6cadf98883b8693</t>
  </si>
  <si>
    <t>component-307ae5eb5c76dcd1</t>
  </si>
  <si>
    <t>-QPXLptqadXhTpEjdPpzD5bD</t>
  </si>
  <si>
    <t>urn:openrag:openarchiver:email:6ca4c5b5-3440-4c50-8666-cecfa25916d5:b24a17b5-0943-41ef-a13b-e6e78d0865f3</t>
  </si>
  <si>
    <t>candidate-e7a09d94a7ba9539</t>
  </si>
  <si>
    <t>component-092442ee72db97b4</t>
  </si>
  <si>
    <t>mzcVuJ9mmtdzHJ6MuHP3w7Wp</t>
  </si>
  <si>
    <t>urn:openrag:openarchiver:email:6ca4c5b5-3440-4c50-8666-cecfa25916d5:b44eb33d-7373-4f8e-a740-2fee0785f53f</t>
  </si>
  <si>
    <t>Plus qu'un mois avant la suppression de votre boîte Mail Orange ou Wanadoo</t>
  </si>
  <si>
    <t>candidate-e844f768baaf16a3</t>
  </si>
  <si>
    <t>component-219be54afca9ba6a</t>
  </si>
  <si>
    <t>iMvVtcHVFllHH3_Ljq5OupWq</t>
  </si>
  <si>
    <t>urn:openrag:openarchiver:email:6ca4c5b5-3440-4c50-8666-cecfa25916d5:7cc17447-e661-4694-9d50-15d6154edb35</t>
  </si>
  <si>
    <t>candidate-e9f45fba553c4da1</t>
  </si>
  <si>
    <t>component-67f9e7e27bc3cee5</t>
  </si>
  <si>
    <t>_WB7GzGsPyTlnFUtDN70_X-v</t>
  </si>
  <si>
    <t>urn:openrag:openarchiver:email:6ca4c5b5-3440-4c50-8666-cecfa25916d5:16d93ee6-cd92-4b35-965d-c671cf60587b</t>
  </si>
  <si>
    <t>candidate-ea20412edcc9d79f</t>
  </si>
  <si>
    <t>component-1198945f57a68cab</t>
  </si>
  <si>
    <t>8naKiZz_ur1vEaj3dLPi9HXk</t>
  </si>
  <si>
    <t>urn:openrag:openarchiver:email:6ca4c5b5-3440-4c50-8666-cecfa25916d5:4a566468-1e95-4c95-8f69-8fe6bf3c1b8c</t>
  </si>
  <si>
    <t>Confirmation pour votre voyage NOUAN LE FUZELIER - PARIS, aller le 27 août, retour le 28 août</t>
  </si>
  <si>
    <t>candidate-eaa128b324fa6add</t>
  </si>
  <si>
    <t>component-2cc9e7327f9cf085</t>
  </si>
  <si>
    <t>mkRTXprADLPtu6i4R7YPBa0C</t>
  </si>
  <si>
    <t>urn:openrag:openarchiver:email:9e325a3e-b01f-40bf-8890-b400d4e3d7f4:30992aae-1e6b-40da-8e8b-7365c566ca7e</t>
  </si>
  <si>
    <t>Vérifiez que tout soit prêt pour votre rendez-vous d'installation Fibre</t>
  </si>
  <si>
    <t>0HbBEMmnqyJNBQe3eztn5l4G</t>
  </si>
  <si>
    <t>urn:openrag:openarchiver:email:6ca4c5b5-3440-4c50-8666-cecfa25916d5:52430bcf-c5f2-43d5-98b8-e1a32156dde6</t>
  </si>
  <si>
    <t>candidate-ec2dec44702afe4a</t>
  </si>
  <si>
    <t>component-fb4dbf488cce0f1c</t>
  </si>
  <si>
    <t>ZYrxvWKsWu_5nrGXiYnmu1py</t>
  </si>
  <si>
    <t>urn:openrag:openarchiver:email:6ca4c5b5-3440-4c50-8666-cecfa25916d5:f071db96-29c0-40fa-92ca-bf42841bd06a</t>
  </si>
  <si>
    <t>Primaux, avec la 4G box surfez à haute vitesse !</t>
  </si>
  <si>
    <t>candidate-efb1626bb98702a0</t>
  </si>
  <si>
    <t>component-6fcbb5ca2d471ea4</t>
  </si>
  <si>
    <t>QhmeG9ElKAiRqFXERif2m7Z_</t>
  </si>
  <si>
    <t>urn:openrag:openarchiver:email:9e325a3e-b01f-40bf-8890-b400d4e3d7f4:3d044b3a-4d22-4083-bdfc-9cf34f2b07cb</t>
  </si>
  <si>
    <t>Prenez dès maintenant votre RDV d'installation Fibre !</t>
  </si>
  <si>
    <t>candidate-f03f7bcdccc42ec3</t>
  </si>
  <si>
    <t>component-313e4a97b7fe726d</t>
  </si>
  <si>
    <t>HRiHnov8vC0DMlalxNhgG-ha</t>
  </si>
  <si>
    <t>urn:openrag:openarchiver:attachment:2d46cec7-3fb3-468c-9dc2-9a3ca303ba20</t>
  </si>
  <si>
    <t>facture_9073083280_2024-05-06.pdf</t>
  </si>
  <si>
    <t>candidate-f15ab1ba5702e8b8</t>
  </si>
  <si>
    <t>thgc2aN2jUHPJj7efOO1p9rj</t>
  </si>
  <si>
    <t>urn:openrag:openarchiver:email:6ca4c5b5-3440-4c50-8666-cecfa25916d5:0cddbbf3-b615-4f7b-9bbb-3d5b3419b101</t>
  </si>
  <si>
    <t>candidate-f2bdcd7f57327f77</t>
  </si>
  <si>
    <t>component-dbbc66c60a7592b3</t>
  </si>
  <si>
    <t>CfpsUzrmgapvrtMv42WPcsT2</t>
  </si>
  <si>
    <t>urn:openrag:openarchiver:attachment:51454f6a-009a-449b-8e8e-8480686b6bde</t>
  </si>
  <si>
    <t>Manuel-d-installation-d-utilisation-d-entretien-Jotul-PF-1230-PF-1230-S-LD.pdf</t>
  </si>
  <si>
    <t>mKAp0S4RZxuVHn7JNwnFRXBH</t>
  </si>
  <si>
    <t>urn:openrag:openarchiver:attachment:711efe79-c2dc-4e74-9625-ac1a5ed2e14f</t>
  </si>
  <si>
    <t>candidate-f5e5e3c5ca6c2543</t>
  </si>
  <si>
    <t>G5gPi_pJ2-mmltCVWukYH30p</t>
  </si>
  <si>
    <t>urn:openrag:openarchiver:email:9e325a3e-b01f-40bf-8890-b400d4e3d7f4:c9bf8d4e-a1af-41cb-a1b3-4e8fcf9d70b2</t>
  </si>
  <si>
    <t>Convocation Bureau FNSEA41 29/05/2026 à 13H30 en VISIO</t>
  </si>
  <si>
    <t>VkYPGzyPIiO4YqyMaG3Lkl1i</t>
  </si>
  <si>
    <t>urn:openrag:openarchiver:email:9e325a3e-b01f-40bf-8890-b400d4e3d7f4:274db864-584a-42d8-ad47-12c0e8c5be45</t>
  </si>
  <si>
    <t>candidate-f779e800dc0ce417</t>
  </si>
  <si>
    <t>kXd11BYL9G5xdDjYlzYeY8bC</t>
  </si>
  <si>
    <t>urn:openrag:openarchiver:attachment:508ac418-7b59-4435-bd0f-50784eff4061</t>
  </si>
  <si>
    <t>Grand_Livre charges ELAN.pdf</t>
  </si>
  <si>
    <t>candidate-f7c6052ff131e7c4</t>
  </si>
  <si>
    <t>R_s47akVh3gCf7ipP-kYRMoc</t>
  </si>
  <si>
    <t>urn:openrag:openarchiver:attachment:031932c1-94fa-450a-858c-c0dc88fc00fb</t>
  </si>
  <si>
    <t>2016 05 03_0320-CNRS-TTHA_Doc-CI_10Mai2016.docx</t>
  </si>
  <si>
    <t>candidate-f7f894f1db1f09f0</t>
  </si>
  <si>
    <t>component-9dc868690ffe5af7</t>
  </si>
  <si>
    <t>3aXc0NNSYnD3GLeNk0TodDFE</t>
  </si>
  <si>
    <t>urn:openrag:openarchiver:email:9e325a3e-b01f-40bf-8890-b400d4e3d7f4:a67ad6a1-d5ac-4226-a50e-e64f63fac336</t>
  </si>
  <si>
    <t>candidate-f936d7dca6e26305</t>
  </si>
  <si>
    <t>u6FN8qqbNpUqcO2u9fSPgR9u</t>
  </si>
  <si>
    <t>urn:openrag:openarchiver:email:6ca4c5b5-3440-4c50-8666-cecfa25916d5:052c2e1e-79d8-42ea-9667-b314c8e1e92b</t>
  </si>
  <si>
    <t>aFMX-cnWRlprTIX7yKqsqU0_</t>
  </si>
  <si>
    <t>urn:openrag:openarchiver:email:6ca4c5b5-3440-4c50-8666-cecfa25916d5:aa452b20-841d-472f-84a6-c006c70cf9c1</t>
  </si>
  <si>
    <t>candidate-f9beb0aa8120bfa7</t>
  </si>
  <si>
    <t>QsJ7wQcXTC2hqy5zUznODFW1</t>
  </si>
  <si>
    <t>urn:openrag:openarchiver:attachment:731ec8ff-69ec-4edf-9f5b-9f9ec8a559f9</t>
  </si>
  <si>
    <t>candidate-f9f171973c778b4a</t>
  </si>
  <si>
    <t>component-b9ae90590565d31a</t>
  </si>
  <si>
    <t>Y6lkdP3hTJCDk6hh_BqgiJ5W</t>
  </si>
  <si>
    <t>urn:openrag:openarchiver:email:9e325a3e-b01f-40bf-8890-b400d4e3d7f4:fb176bb8-9a91-4277-9b0a-3cc2e00a289a</t>
  </si>
  <si>
    <t>Confirmation de votre commande Freebox</t>
  </si>
  <si>
    <t>candidate-fa2e4845971b927d</t>
  </si>
  <si>
    <t>lTOu1xRepH0QV_mWw3hPhMe5</t>
  </si>
  <si>
    <t>urn:openrag:openarchiver:attachment:68487a8b-c302-43b3-b26f-8e41b941978e</t>
  </si>
  <si>
    <t>candidate-fd3c0c67051ab983</t>
  </si>
  <si>
    <t>component-30c170fde376280a</t>
  </si>
  <si>
    <t>QvuY2BiqehqOVPiJUqk9Lti3</t>
  </si>
  <si>
    <t>urn:openrag:openarchiver:email:6ca4c5b5-3440-4c50-8666-cecfa25916d5:03eaec0f-1d44-4ac4-bf98-229732a3aebb</t>
  </si>
  <si>
    <t>candidate-fdf4a793a42f799a</t>
  </si>
  <si>
    <t>KNOaKFpmTqTVNR8FV4usaKvU</t>
  </si>
  <si>
    <t>urn:openrag:openarchiver:attachment:391813b9-e006-4007-a502-32773bec603d</t>
  </si>
  <si>
    <t>Facture #CAI_CIR_24.pdf</t>
  </si>
  <si>
    <t>candidate-feab9748f6f33fb6</t>
  </si>
  <si>
    <t>component-5ff5f81673106f80</t>
  </si>
  <si>
    <t>HzkR0A0Je3RuzuCWpb6NxaTp</t>
  </si>
  <si>
    <t>urn:openrag:openarchiver:email:6ca4c5b5-3440-4c50-8666-cecfa25916d5:486860e9-67e5-443d-8c58-be97ca9544c7</t>
  </si>
  <si>
    <t>Bonjour Monsieur Primaux, nous vous présentons un moyen plus simple de régler vos factures</t>
  </si>
  <si>
    <t>candidate-fed5254e16ffe1b5</t>
  </si>
  <si>
    <t>component-79f6c1dd0356de4b</t>
  </si>
  <si>
    <t>bMHveNU8UOZlPzuYw5Bs5D5u</t>
  </si>
  <si>
    <t>urn:openrag:openarchiver:email:6ca4c5b5-3440-4c50-8666-cecfa25916d5:a85bff10-f67c-4092-8d68-b71b60e310bd</t>
  </si>
  <si>
    <t>candidate-fee50bc5a2d56ab8</t>
  </si>
  <si>
    <t>qduAO7Wl8mi9xxgu-SyQ_uB3</t>
  </si>
  <si>
    <t>urn:openrag:openarchiver:email:9e325a3e-b01f-40bf-8890-b400d4e3d7f4:4e19718e-68ef-463f-8e16-5092587bfc5d</t>
  </si>
  <si>
    <t>mail--4e19718e68ef.eml</t>
  </si>
  <si>
    <t>candidate-ff474dc9bfd42255</t>
  </si>
  <si>
    <t>component-20a7be24235c223a</t>
  </si>
  <si>
    <t>O8G06USLRSmeKEPPtgQhAvVS</t>
  </si>
  <si>
    <t>urn:openrag:openarchiver:email:9e325a3e-b01f-40bf-8890-b400d4e3d7f4:2169e450-6131-4114-82ff-e8f9636ae2c9</t>
  </si>
  <si>
    <t>component-review</t>
  </si>
  <si>
    <t>orange-fibre-GT2-revue-humaine-pretrie-corrigee.xlsx</t>
  </si>
  <si>
    <t>Tri composants</t>
  </si>
  <si>
    <t>component-110727b2fa5d4333</t>
  </si>
  <si>
    <t>component-1267cc6f7f3ab306</t>
  </si>
  <si>
    <t>component-13865ded7b622e34</t>
  </si>
  <si>
    <t>component-1464a301fa1422a6</t>
  </si>
  <si>
    <t>component-1857b3f0b7096e36</t>
  </si>
  <si>
    <t>component-18735918f9bc7c25</t>
  </si>
  <si>
    <t>component-1e3c2520058da678</t>
  </si>
  <si>
    <t>component-1fabf4cc61205d07</t>
  </si>
  <si>
    <t>component-211068713381f4a1</t>
  </si>
  <si>
    <t>component-23be5b2c5df676d2</t>
  </si>
  <si>
    <t>component-2a1bab74ce3eab59</t>
  </si>
  <si>
    <t>component-2fccbb3d3bb9b07f</t>
  </si>
  <si>
    <t>component-340a62fbdcf5e7e1</t>
  </si>
  <si>
    <t>component-38a2860d83103824</t>
  </si>
  <si>
    <t>component-39525210e616d460</t>
  </si>
  <si>
    <t>component-3aca33adcb651a50</t>
  </si>
  <si>
    <t>component-3df604e751674952</t>
  </si>
  <si>
    <t>component-3e72b6f9ebc3440e</t>
  </si>
  <si>
    <t>component-42d3a0c8f8bd423d</t>
  </si>
  <si>
    <t>component-485843d0b91da73a</t>
  </si>
  <si>
    <t>component-4a2dbcec4cff30b2</t>
  </si>
  <si>
    <t>component-4a2f2076f46d289c</t>
  </si>
  <si>
    <t>component-4acc71ce9236bc07</t>
  </si>
  <si>
    <t>component-4b337e9cf45d47f1</t>
  </si>
  <si>
    <t>component-4b7b5d2496f7179e</t>
  </si>
  <si>
    <t>component-4e98e1168f8039f5</t>
  </si>
  <si>
    <t>component-4ea710d543e5d14c</t>
  </si>
  <si>
    <t>component-55370f6a335c817e</t>
  </si>
  <si>
    <t>component-566d9cc130b67c9d</t>
  </si>
  <si>
    <t>component-57b8574c9eb849c4</t>
  </si>
  <si>
    <t>component-57f29a190e3839e8</t>
  </si>
  <si>
    <t>component-588a38e330000481</t>
  </si>
  <si>
    <t>component-59c38e15df4e4b1d</t>
  </si>
  <si>
    <t>component-5efea4eae48d29f6</t>
  </si>
  <si>
    <t>component-654c33f68f3770e1</t>
  </si>
  <si>
    <t>component-699dd69d1e7d355f</t>
  </si>
  <si>
    <t>component-6a7e6799512e9d81</t>
  </si>
  <si>
    <t>component-6fa80f979d69ea85</t>
  </si>
  <si>
    <t>component-71f48d6a2f7c1aa3</t>
  </si>
  <si>
    <t>component-71fb092b568a647a</t>
  </si>
  <si>
    <t>component-7bd2a4e0357a96f0</t>
  </si>
  <si>
    <t>component-7c8d881c059a1917</t>
  </si>
  <si>
    <t>component-7cfdc038d8245f2e</t>
  </si>
  <si>
    <t>component-7eb0652d0020fb5e</t>
  </si>
  <si>
    <t>component-80a0671efaca1205</t>
  </si>
  <si>
    <t>component-830e0a942b2b2cd1</t>
  </si>
  <si>
    <t>component-84d001884416cb62</t>
  </si>
  <si>
    <t>component-890634b6f788b091</t>
  </si>
  <si>
    <t>component-8b39a419b9875aa5</t>
  </si>
  <si>
    <t>component-8b71df96387610c9</t>
  </si>
  <si>
    <t>component-8c154d74abfd1731</t>
  </si>
  <si>
    <t>component-8cd21c298bc86f14</t>
  </si>
  <si>
    <t>component-8d5797e9b4a3209d</t>
  </si>
  <si>
    <t>component-92c90e7cb33437a9</t>
  </si>
  <si>
    <t>component-92e456ebb70959f4</t>
  </si>
  <si>
    <t>component-93154b3977a6fae9</t>
  </si>
  <si>
    <t>component-9648121158580909</t>
  </si>
  <si>
    <t>component-98e2b4cd7ece51ac</t>
  </si>
  <si>
    <t>component-99536ec273778814</t>
  </si>
  <si>
    <t>component-9b71807a4e4a5df0</t>
  </si>
  <si>
    <t>component-9ff173a358565323</t>
  </si>
  <si>
    <t>component-a10a4c90ae0782cb</t>
  </si>
  <si>
    <t>component-aba52fc490c3104a</t>
  </si>
  <si>
    <t>component-ae6421de181a2cf1</t>
  </si>
  <si>
    <t>component-b10873f4f98637a0</t>
  </si>
  <si>
    <t>component-b2f016663629895c</t>
  </si>
  <si>
    <t>component-b803ef7786a71a5d</t>
  </si>
  <si>
    <t>component-bd308e70d64590ec</t>
  </si>
  <si>
    <t>component-bdfdd0e5752e0787</t>
  </si>
  <si>
    <t>component-c051a24ab3c8f8fb</t>
  </si>
  <si>
    <t>component-c1a000c0d4622d14</t>
  </si>
  <si>
    <t>component-c4a9f323bc2f18e9</t>
  </si>
  <si>
    <t>component-c6b967b787f719cb</t>
  </si>
  <si>
    <t>component-c9bbb83a2df00237</t>
  </si>
  <si>
    <t>component-c9f489f95048d25a</t>
  </si>
  <si>
    <t>component-cb2af00ee744ead2</t>
  </si>
  <si>
    <t>component-cb58ab3c68915023</t>
  </si>
  <si>
    <t>component-d25fa4c560376577</t>
  </si>
  <si>
    <t>component-d4c6d81e478c9a23</t>
  </si>
  <si>
    <t>component-d4f5a80cfb3da798</t>
  </si>
  <si>
    <t>component-da29942de6c9b8e7</t>
  </si>
  <si>
    <t>component-dd22078b64c0568c</t>
  </si>
  <si>
    <t>component-e2532bc56640021e</t>
  </si>
  <si>
    <t>component-e8c7bb7db4076897</t>
  </si>
  <si>
    <t>component-ea147b5e304031fc</t>
  </si>
  <si>
    <t>component-ea3c082ba2079a34</t>
  </si>
  <si>
    <t>component-ec3bcf1c779c716b</t>
  </si>
  <si>
    <t>component-efaacc99d775013a</t>
  </si>
  <si>
    <t>component-f202e4ce9be9c90d</t>
  </si>
  <si>
    <t>component-f3441382e1c2159e</t>
  </si>
  <si>
    <t>component-f6ace7b986e681e4</t>
  </si>
  <si>
    <t>component-f9a8c940adb9cb73</t>
  </si>
  <si>
    <t>component-f9d298d8271f537e</t>
  </si>
  <si>
    <t>component-fee1cfea07426e60</t>
  </si>
  <si>
    <t>impossible de trancher sans analyse pousée de la grille tarifaire</t>
  </si>
  <si>
    <t>impossible de trancher sans analyse pousée des echanges et des dates</t>
  </si>
  <si>
    <t>OVH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</si>
</sst>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53A5B"/>
      <name val="Carlito"/>
    </font>
    <font>
      <b/>
      <sz val="10"/>
      <color rgb="FF1F2937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0"/>
      <color rgb="FF153A5B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53A5B"/>
      </patternFill>
    </fill>
    <fill>
      <patternFill patternType="solid">
        <fgColor rgb="FFDCEAF5"/>
      </patternFill>
    </fill>
    <fill>
      <patternFill patternType="solid">
        <fgColor rgb="FFFFF4CC"/>
      </patternFill>
    </fill>
    <fill>
      <patternFill patternType="solid">
        <fgColor rgb="FFF28C28"/>
      </patternFill>
    </fill>
    <fill>
      <patternFill patternType="solid">
        <fgColor rgb="FFDDEED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4" fillId="0" borderId="1" xfId="0" applyNumberFormat="1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0" xfId="0" applyFont="1" applyFill="1"/>
    <xf numFmtId="0" fontId="7" fillId="0" borderId="1" xfId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archiver.ferme-de-pommerieux.fr/dashboard/archived-emails/26ce331e-e775-4ed6-963f-746912862514" TargetMode="External"/><Relationship Id="rId2" Type="http://schemas.openxmlformats.org/officeDocument/2006/relationships/hyperlink" Target="https://openarchiver.ferme-de-pommerieux.fr/dashboard/archived-emails/394f729d-6dab-4490-aff2-c9c521f8c0f6" TargetMode="External"/><Relationship Id="rId1" Type="http://schemas.openxmlformats.org/officeDocument/2006/relationships/hyperlink" Target="https://openarchiver.ferme-de-pommerieux.fr/dashboard/archived-emails/12e5861c-a7c6-4c5c-a6ca-e99d7802930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zoomScale="194" workbookViewId="0"/>
  </sheetViews>
  <sheetFormatPr baseColWidth="10" defaultColWidth="8.83203125" defaultRowHeight="14"/>
  <cols>
    <col min="1" max="1" width="23" customWidth="1"/>
    <col min="2" max="2" width="100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15">
      <c r="A2" s="11" t="s">
        <v>1</v>
      </c>
      <c r="B2" s="11"/>
      <c r="C2" s="11"/>
      <c r="D2" s="11"/>
      <c r="E2" s="11"/>
      <c r="F2" s="11"/>
    </row>
    <row r="3" spans="1:6">
      <c r="A3" s="2" t="s">
        <v>2</v>
      </c>
      <c r="B3" s="3" t="s">
        <v>3</v>
      </c>
    </row>
    <row r="4" spans="1:6">
      <c r="A4" s="2" t="s">
        <v>4</v>
      </c>
      <c r="B4" s="3" t="s">
        <v>5</v>
      </c>
    </row>
    <row r="5" spans="1:6">
      <c r="A5" s="2" t="s">
        <v>6</v>
      </c>
      <c r="B5" s="3" t="s">
        <v>7</v>
      </c>
    </row>
    <row r="6" spans="1:6" ht="28">
      <c r="A6" s="2" t="s">
        <v>8</v>
      </c>
      <c r="B6" s="3" t="s">
        <v>9</v>
      </c>
    </row>
    <row r="7" spans="1:6" ht="28">
      <c r="A7" s="2" t="s">
        <v>10</v>
      </c>
      <c r="B7" s="3" t="s">
        <v>11</v>
      </c>
    </row>
    <row r="8" spans="1:6">
      <c r="A8" s="2" t="s">
        <v>12</v>
      </c>
      <c r="B8" s="3" t="s">
        <v>13</v>
      </c>
    </row>
    <row r="9" spans="1:6">
      <c r="A9" s="2" t="s">
        <v>14</v>
      </c>
      <c r="B9" s="3" t="s">
        <v>15</v>
      </c>
    </row>
    <row r="10" spans="1:6">
      <c r="A10" s="2" t="s">
        <v>16</v>
      </c>
      <c r="B10" s="3" t="s">
        <v>17</v>
      </c>
    </row>
    <row r="11" spans="1:6">
      <c r="A11" s="2" t="s">
        <v>18</v>
      </c>
      <c r="B11" s="3" t="s">
        <v>19</v>
      </c>
    </row>
    <row r="12" spans="1:6">
      <c r="A12" s="2" t="s">
        <v>20</v>
      </c>
      <c r="B12" s="3" t="s">
        <v>21</v>
      </c>
    </row>
    <row r="13" spans="1:6">
      <c r="A13" s="2" t="s">
        <v>22</v>
      </c>
      <c r="B13" s="3" t="s">
        <v>23</v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/>
  </sheetViews>
  <sheetFormatPr baseColWidth="10" defaultColWidth="8.83203125" defaultRowHeight="14"/>
  <cols>
    <col min="1" max="1" width="33" customWidth="1"/>
    <col min="2" max="2" width="70" customWidth="1"/>
    <col min="3" max="3" width="65" customWidth="1"/>
  </cols>
  <sheetData>
    <row r="1" spans="1:4" ht="30" customHeight="1">
      <c r="A1" s="1" t="s">
        <v>24</v>
      </c>
      <c r="B1" s="1"/>
      <c r="C1" s="1"/>
      <c r="D1" s="1"/>
    </row>
    <row r="3" spans="1:4" ht="32" customHeight="1">
      <c r="A3" s="4" t="s">
        <v>25</v>
      </c>
      <c r="B3" s="4" t="s">
        <v>26</v>
      </c>
      <c r="C3" s="4" t="s">
        <v>27</v>
      </c>
    </row>
    <row r="4" spans="1:4">
      <c r="A4" s="5" t="s">
        <v>28</v>
      </c>
      <c r="B4" s="3">
        <f>COUNTA('Composants acquis'!A2:A351)</f>
        <v>350</v>
      </c>
      <c r="C4" s="3" t="s">
        <v>29</v>
      </c>
    </row>
    <row r="5" spans="1:4">
      <c r="A5" s="5" t="s">
        <v>30</v>
      </c>
      <c r="B5" s="3">
        <f>COUNTA('Jugements acquis'!A2:A338)</f>
        <v>337</v>
      </c>
      <c r="C5" s="3" t="s">
        <v>31</v>
      </c>
    </row>
    <row r="6" spans="1:4">
      <c r="A6" s="5" t="s">
        <v>32</v>
      </c>
      <c r="B6" s="3">
        <f>COUNTIF('Jugements acquis'!H2:H338,"CORE")</f>
        <v>48</v>
      </c>
      <c r="C6" s="3" t="s">
        <v>33</v>
      </c>
    </row>
    <row r="7" spans="1:4">
      <c r="A7" s="5" t="s">
        <v>34</v>
      </c>
      <c r="B7" s="3">
        <f>COUNTIF('Jugements acquis'!H2:H338,"CONTEXTUAL")</f>
        <v>56</v>
      </c>
      <c r="C7" s="3" t="s">
        <v>35</v>
      </c>
    </row>
    <row r="8" spans="1:4">
      <c r="A8" s="5" t="s">
        <v>36</v>
      </c>
      <c r="B8" s="3">
        <f>COUNTIF('Jugements acquis'!H2:H338,"NOT_RELEVANT")</f>
        <v>233</v>
      </c>
      <c r="C8" s="3" t="s">
        <v>37</v>
      </c>
    </row>
    <row r="9" spans="1:4">
      <c r="A9" s="5" t="s">
        <v>38</v>
      </c>
      <c r="B9" s="3">
        <f>COUNTA('Revue complémentaire'!W2:W14)</f>
        <v>13</v>
      </c>
      <c r="C9" s="3" t="s">
        <v>39</v>
      </c>
    </row>
    <row r="10" spans="1:4">
      <c r="A10" s="5" t="s">
        <v>40</v>
      </c>
      <c r="B10" s="3">
        <f>COUNTIF('Revue complémentaire'!D2:D14,"CORE")+COUNTIF('Revue complémentaire'!D2:D14,"CONTEXTUAL")+COUNTIF('Revue complémentaire'!D2:D14,"NOT_RELEVANT")</f>
        <v>13</v>
      </c>
      <c r="C10" s="3" t="s">
        <v>41</v>
      </c>
    </row>
    <row r="11" spans="1:4">
      <c r="A11" s="5" t="s">
        <v>42</v>
      </c>
      <c r="B11" s="3">
        <f>B9-B10</f>
        <v>0</v>
      </c>
      <c r="C11" s="3" t="s">
        <v>43</v>
      </c>
    </row>
    <row r="12" spans="1:4">
      <c r="A12" s="5" t="s">
        <v>44</v>
      </c>
      <c r="B12" s="3" t="str">
        <f>IF(B11=0,"READY FOR RECHECK","BLOCKED")</f>
        <v>READY FOR RECHECK</v>
      </c>
      <c r="C12" s="3" t="s">
        <v>45</v>
      </c>
    </row>
    <row r="13" spans="1:4">
      <c r="A13" s="5" t="s">
        <v>46</v>
      </c>
      <c r="B13" s="3">
        <f>COUNTA('Contrôle négatif acquis'!A2:A61)</f>
        <v>60</v>
      </c>
      <c r="C13" s="3" t="s">
        <v>47</v>
      </c>
    </row>
    <row r="14" spans="1:4">
      <c r="A14" s="5" t="s">
        <v>48</v>
      </c>
      <c r="B14" s="3" t="s">
        <v>49</v>
      </c>
      <c r="C14" s="3" t="s">
        <v>50</v>
      </c>
    </row>
    <row r="15" spans="1:4">
      <c r="A15" s="5" t="s">
        <v>51</v>
      </c>
      <c r="B15" s="3" t="s">
        <v>52</v>
      </c>
      <c r="C15" s="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showGridLines="0" tabSelected="1" topLeftCell="C8" zoomScale="161" workbookViewId="0">
      <selection activeCell="E15" sqref="E15"/>
    </sheetView>
  </sheetViews>
  <sheetFormatPr baseColWidth="10" defaultColWidth="8.83203125" defaultRowHeight="14"/>
  <cols>
    <col min="1" max="1" width="8" customWidth="1"/>
    <col min="2" max="2" width="29" customWidth="1"/>
    <col min="3" max="3" width="45" customWidth="1"/>
    <col min="4" max="4" width="23" customWidth="1"/>
    <col min="5" max="5" width="30" customWidth="1"/>
    <col min="6" max="7" width="22" customWidth="1"/>
    <col min="8" max="8" width="25" customWidth="1"/>
    <col min="9" max="9" width="27" customWidth="1"/>
    <col min="10" max="10" width="38" customWidth="1"/>
    <col min="11" max="11" width="18" customWidth="1"/>
    <col min="12" max="12" width="28" customWidth="1"/>
    <col min="13" max="13" width="36" customWidth="1"/>
    <col min="14" max="14" width="14" customWidth="1"/>
    <col min="15" max="17" width="10" customWidth="1"/>
    <col min="18" max="18" width="90" customWidth="1"/>
    <col min="19" max="19" width="42" customWidth="1"/>
    <col min="20" max="20" width="13" customWidth="1"/>
    <col min="21" max="21" width="38" customWidth="1"/>
    <col min="22" max="22" width="80" customWidth="1"/>
    <col min="23" max="23" width="29" customWidth="1"/>
  </cols>
  <sheetData>
    <row r="1" spans="1:23" ht="32" customHeight="1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  <c r="R1" s="4" t="s">
        <v>71</v>
      </c>
      <c r="S1" s="4" t="s">
        <v>72</v>
      </c>
      <c r="T1" s="4" t="s">
        <v>73</v>
      </c>
      <c r="U1" s="4" t="s">
        <v>74</v>
      </c>
      <c r="V1" s="4" t="s">
        <v>75</v>
      </c>
      <c r="W1" s="4" t="s">
        <v>76</v>
      </c>
    </row>
    <row r="2" spans="1:23" ht="68" customHeight="1">
      <c r="A2" s="3">
        <v>1</v>
      </c>
      <c r="B2" s="3" t="s">
        <v>77</v>
      </c>
      <c r="C2" s="3" t="s">
        <v>78</v>
      </c>
      <c r="D2" s="6" t="s">
        <v>10</v>
      </c>
      <c r="E2" s="3" t="s">
        <v>105</v>
      </c>
      <c r="F2" s="3"/>
      <c r="G2" s="3"/>
      <c r="H2" s="3"/>
      <c r="I2" s="3" t="s">
        <v>79</v>
      </c>
      <c r="J2" s="3" t="s">
        <v>80</v>
      </c>
      <c r="K2" s="8">
        <v>42040.386793981481</v>
      </c>
      <c r="L2" s="3" t="s">
        <v>81</v>
      </c>
      <c r="M2" s="3" t="s">
        <v>82</v>
      </c>
      <c r="N2" s="7" t="b">
        <v>0</v>
      </c>
      <c r="O2" s="3"/>
      <c r="P2" s="3"/>
      <c r="Q2" s="3"/>
      <c r="R2" s="3" t="s">
        <v>83</v>
      </c>
      <c r="S2" s="3" t="s">
        <v>80</v>
      </c>
      <c r="T2" s="3">
        <v>1</v>
      </c>
      <c r="U2" s="3" t="s">
        <v>84</v>
      </c>
      <c r="V2" s="3" t="s">
        <v>85</v>
      </c>
      <c r="W2" s="3" t="s">
        <v>86</v>
      </c>
    </row>
    <row r="3" spans="1:23" ht="68" customHeight="1">
      <c r="A3" s="3">
        <v>2</v>
      </c>
      <c r="B3" s="3" t="s">
        <v>77</v>
      </c>
      <c r="C3" s="3" t="s">
        <v>78</v>
      </c>
      <c r="D3" s="6" t="s">
        <v>10</v>
      </c>
      <c r="E3" s="3" t="s">
        <v>105</v>
      </c>
      <c r="F3" s="3"/>
      <c r="G3" s="3"/>
      <c r="H3" s="3"/>
      <c r="I3" s="3" t="s">
        <v>87</v>
      </c>
      <c r="J3" s="3" t="s">
        <v>88</v>
      </c>
      <c r="K3" s="8"/>
      <c r="L3" s="3"/>
      <c r="M3" s="3"/>
      <c r="N3" s="7" t="b">
        <v>0</v>
      </c>
      <c r="O3" s="3">
        <v>36</v>
      </c>
      <c r="P3" s="3">
        <v>23</v>
      </c>
      <c r="Q3" s="3"/>
      <c r="R3" s="3" t="s">
        <v>89</v>
      </c>
      <c r="S3" s="3" t="s">
        <v>90</v>
      </c>
      <c r="T3" s="3">
        <v>1</v>
      </c>
      <c r="U3" s="3" t="s">
        <v>91</v>
      </c>
      <c r="V3" s="3" t="s">
        <v>92</v>
      </c>
      <c r="W3" s="3" t="s">
        <v>93</v>
      </c>
    </row>
    <row r="4" spans="1:23" ht="68" customHeight="1">
      <c r="A4" s="3">
        <v>3</v>
      </c>
      <c r="B4" s="3" t="s">
        <v>94</v>
      </c>
      <c r="C4" s="3" t="s">
        <v>78</v>
      </c>
      <c r="D4" s="6" t="s">
        <v>10</v>
      </c>
      <c r="E4" s="6"/>
      <c r="F4" s="3"/>
      <c r="G4" s="3"/>
      <c r="H4" s="3" t="s">
        <v>95</v>
      </c>
      <c r="I4" s="3" t="s">
        <v>96</v>
      </c>
      <c r="J4" s="3" t="s">
        <v>97</v>
      </c>
      <c r="K4" s="8">
        <v>43222.329317129632</v>
      </c>
      <c r="L4" s="3" t="s">
        <v>98</v>
      </c>
      <c r="M4" s="3" t="s">
        <v>99</v>
      </c>
      <c r="N4" s="7" t="b">
        <v>0</v>
      </c>
      <c r="O4" s="3"/>
      <c r="P4" s="3"/>
      <c r="Q4" s="3"/>
      <c r="R4" s="3" t="s">
        <v>100</v>
      </c>
      <c r="S4" s="3" t="s">
        <v>101</v>
      </c>
      <c r="T4" s="3">
        <v>0.82105300000000003</v>
      </c>
      <c r="U4" s="3" t="s">
        <v>102</v>
      </c>
      <c r="V4" s="3" t="s">
        <v>103</v>
      </c>
      <c r="W4" s="3" t="s">
        <v>104</v>
      </c>
    </row>
    <row r="5" spans="1:23" ht="68" customHeight="1">
      <c r="A5" s="3">
        <v>4</v>
      </c>
      <c r="B5" s="3" t="s">
        <v>77</v>
      </c>
      <c r="C5" s="3" t="s">
        <v>78</v>
      </c>
      <c r="D5" s="6" t="s">
        <v>10</v>
      </c>
      <c r="E5" s="3" t="s">
        <v>105</v>
      </c>
      <c r="F5" s="3"/>
      <c r="G5" s="3" t="s">
        <v>105</v>
      </c>
      <c r="H5" s="3"/>
      <c r="I5" s="3" t="s">
        <v>106</v>
      </c>
      <c r="J5" s="3" t="s">
        <v>107</v>
      </c>
      <c r="K5" s="8"/>
      <c r="L5" s="3"/>
      <c r="M5" s="3"/>
      <c r="N5" s="7" t="b">
        <v>0</v>
      </c>
      <c r="O5" s="3"/>
      <c r="P5" s="3">
        <v>196</v>
      </c>
      <c r="Q5" s="3"/>
      <c r="R5" s="3" t="s">
        <v>108</v>
      </c>
      <c r="S5" s="3" t="s">
        <v>90</v>
      </c>
      <c r="T5" s="3">
        <v>1</v>
      </c>
      <c r="U5" s="3" t="s">
        <v>109</v>
      </c>
      <c r="V5" s="3" t="s">
        <v>110</v>
      </c>
      <c r="W5" s="3" t="s">
        <v>111</v>
      </c>
    </row>
    <row r="6" spans="1:23" ht="68" customHeight="1">
      <c r="A6" s="3">
        <v>5</v>
      </c>
      <c r="B6" s="3" t="s">
        <v>77</v>
      </c>
      <c r="C6" s="3" t="s">
        <v>78</v>
      </c>
      <c r="D6" s="6" t="s">
        <v>10</v>
      </c>
      <c r="E6" s="3" t="s">
        <v>105</v>
      </c>
      <c r="F6" s="3"/>
      <c r="G6" s="3"/>
      <c r="H6" s="3"/>
      <c r="I6" s="3" t="s">
        <v>112</v>
      </c>
      <c r="J6" s="3" t="s">
        <v>113</v>
      </c>
      <c r="K6" s="8"/>
      <c r="L6" s="3"/>
      <c r="M6" s="3"/>
      <c r="N6" s="7" t="b">
        <v>0</v>
      </c>
      <c r="O6" s="3">
        <v>38</v>
      </c>
      <c r="P6" s="3">
        <v>24</v>
      </c>
      <c r="Q6" s="3"/>
      <c r="R6" s="3" t="s">
        <v>89</v>
      </c>
      <c r="S6" s="3" t="s">
        <v>90</v>
      </c>
      <c r="T6" s="3">
        <v>1</v>
      </c>
      <c r="U6" s="3" t="s">
        <v>114</v>
      </c>
      <c r="V6" s="3" t="s">
        <v>115</v>
      </c>
      <c r="W6" s="3" t="s">
        <v>116</v>
      </c>
    </row>
    <row r="7" spans="1:23" ht="68" customHeight="1">
      <c r="A7" s="3">
        <v>6</v>
      </c>
      <c r="B7" s="3" t="s">
        <v>77</v>
      </c>
      <c r="C7" s="3" t="s">
        <v>78</v>
      </c>
      <c r="D7" s="6" t="s">
        <v>8</v>
      </c>
      <c r="E7" s="6" t="s">
        <v>1783</v>
      </c>
      <c r="F7" s="3" t="s">
        <v>10</v>
      </c>
      <c r="G7" s="3"/>
      <c r="H7" s="3" t="s">
        <v>117</v>
      </c>
      <c r="I7" s="3" t="s">
        <v>118</v>
      </c>
      <c r="J7" s="3" t="s">
        <v>80</v>
      </c>
      <c r="K7" s="8">
        <v>44720.532557870371</v>
      </c>
      <c r="L7" s="3"/>
      <c r="M7" s="3"/>
      <c r="N7" s="7" t="b">
        <v>0</v>
      </c>
      <c r="O7" s="3">
        <v>57</v>
      </c>
      <c r="P7" s="3">
        <v>39</v>
      </c>
      <c r="Q7" s="3">
        <v>169</v>
      </c>
      <c r="R7" s="3" t="s">
        <v>119</v>
      </c>
      <c r="S7" s="3" t="s">
        <v>80</v>
      </c>
      <c r="T7" s="3">
        <v>1</v>
      </c>
      <c r="U7" s="3" t="s">
        <v>120</v>
      </c>
      <c r="V7" s="12" t="s">
        <v>121</v>
      </c>
      <c r="W7" s="3" t="s">
        <v>122</v>
      </c>
    </row>
    <row r="8" spans="1:23" ht="68" customHeight="1">
      <c r="A8" s="3">
        <v>7</v>
      </c>
      <c r="B8" s="3" t="s">
        <v>94</v>
      </c>
      <c r="C8" s="3" t="s">
        <v>78</v>
      </c>
      <c r="D8" s="6" t="s">
        <v>10</v>
      </c>
      <c r="E8" s="6" t="s">
        <v>105</v>
      </c>
      <c r="F8" s="3"/>
      <c r="G8" s="3" t="s">
        <v>105</v>
      </c>
      <c r="H8" s="3"/>
      <c r="I8" s="3" t="s">
        <v>123</v>
      </c>
      <c r="J8" s="3" t="s">
        <v>124</v>
      </c>
      <c r="K8" s="8"/>
      <c r="L8" s="3"/>
      <c r="M8" s="3"/>
      <c r="N8" s="7" t="b">
        <v>0</v>
      </c>
      <c r="O8" s="3"/>
      <c r="P8" s="3">
        <v>195</v>
      </c>
      <c r="Q8" s="3"/>
      <c r="R8" s="3" t="s">
        <v>108</v>
      </c>
      <c r="S8" s="3" t="s">
        <v>90</v>
      </c>
      <c r="T8" s="3">
        <v>0.93333299999999997</v>
      </c>
      <c r="U8" s="3" t="s">
        <v>125</v>
      </c>
      <c r="V8" s="3" t="s">
        <v>126</v>
      </c>
      <c r="W8" s="3" t="s">
        <v>127</v>
      </c>
    </row>
    <row r="9" spans="1:23" ht="68" customHeight="1">
      <c r="A9" s="3">
        <v>8</v>
      </c>
      <c r="B9" s="3" t="s">
        <v>77</v>
      </c>
      <c r="C9" s="3" t="s">
        <v>78</v>
      </c>
      <c r="D9" s="6" t="s">
        <v>10</v>
      </c>
      <c r="E9" s="6" t="s">
        <v>105</v>
      </c>
      <c r="F9" s="3"/>
      <c r="G9" s="3"/>
      <c r="H9" s="3"/>
      <c r="I9" s="3" t="s">
        <v>128</v>
      </c>
      <c r="J9" s="3" t="s">
        <v>129</v>
      </c>
      <c r="K9" s="8"/>
      <c r="L9" s="3"/>
      <c r="M9" s="3"/>
      <c r="N9" s="7" t="b">
        <v>0</v>
      </c>
      <c r="O9" s="3">
        <v>35</v>
      </c>
      <c r="P9" s="3">
        <v>22</v>
      </c>
      <c r="Q9" s="3"/>
      <c r="R9" s="3" t="s">
        <v>89</v>
      </c>
      <c r="S9" s="3" t="s">
        <v>90</v>
      </c>
      <c r="T9" s="3">
        <v>1</v>
      </c>
      <c r="U9" s="3" t="s">
        <v>130</v>
      </c>
      <c r="V9" s="3" t="s">
        <v>131</v>
      </c>
      <c r="W9" s="3" t="s">
        <v>132</v>
      </c>
    </row>
    <row r="10" spans="1:23" ht="68" customHeight="1">
      <c r="A10" s="3">
        <v>9</v>
      </c>
      <c r="B10" s="3" t="s">
        <v>94</v>
      </c>
      <c r="C10" s="3" t="s">
        <v>78</v>
      </c>
      <c r="D10" s="6" t="s">
        <v>10</v>
      </c>
      <c r="E10" s="6"/>
      <c r="F10" s="3"/>
      <c r="G10" s="3"/>
      <c r="H10" s="3" t="s">
        <v>117</v>
      </c>
      <c r="I10" s="3" t="s">
        <v>133</v>
      </c>
      <c r="J10" s="3" t="s">
        <v>134</v>
      </c>
      <c r="K10" s="8"/>
      <c r="L10" s="3"/>
      <c r="M10" s="3"/>
      <c r="N10" s="7" t="b">
        <v>0</v>
      </c>
      <c r="O10" s="3"/>
      <c r="P10" s="3"/>
      <c r="Q10" s="3"/>
      <c r="R10" s="3" t="s">
        <v>135</v>
      </c>
      <c r="S10" s="3" t="s">
        <v>136</v>
      </c>
      <c r="T10" s="3">
        <v>0.86666699999999997</v>
      </c>
      <c r="U10" s="3" t="s">
        <v>137</v>
      </c>
      <c r="V10" s="3" t="s">
        <v>138</v>
      </c>
      <c r="W10" s="3" t="s">
        <v>139</v>
      </c>
    </row>
    <row r="11" spans="1:23" ht="68" customHeight="1">
      <c r="A11" s="3">
        <v>10</v>
      </c>
      <c r="B11" s="3" t="s">
        <v>94</v>
      </c>
      <c r="C11" s="3" t="s">
        <v>78</v>
      </c>
      <c r="D11" s="6" t="s">
        <v>10</v>
      </c>
      <c r="E11" s="6"/>
      <c r="F11" s="3"/>
      <c r="G11" s="3"/>
      <c r="H11" s="3"/>
      <c r="I11" s="3" t="s">
        <v>140</v>
      </c>
      <c r="J11" s="3" t="s">
        <v>141</v>
      </c>
      <c r="K11" s="8">
        <v>44316.573460648149</v>
      </c>
      <c r="L11" s="3" t="s">
        <v>142</v>
      </c>
      <c r="M11" s="3" t="s">
        <v>82</v>
      </c>
      <c r="N11" s="7" t="b">
        <v>0</v>
      </c>
      <c r="O11" s="3">
        <v>96</v>
      </c>
      <c r="P11" s="3"/>
      <c r="Q11" s="3">
        <v>58</v>
      </c>
      <c r="R11" s="3" t="s">
        <v>143</v>
      </c>
      <c r="S11" s="3" t="s">
        <v>80</v>
      </c>
      <c r="T11" s="3">
        <v>0.88888900000000004</v>
      </c>
      <c r="U11" s="3" t="s">
        <v>144</v>
      </c>
      <c r="V11" s="3" t="s">
        <v>145</v>
      </c>
      <c r="W11" s="3" t="s">
        <v>146</v>
      </c>
    </row>
    <row r="12" spans="1:23" ht="68" customHeight="1">
      <c r="A12" s="3">
        <v>11</v>
      </c>
      <c r="B12" s="3" t="s">
        <v>77</v>
      </c>
      <c r="C12" s="3" t="s">
        <v>78</v>
      </c>
      <c r="D12" s="6" t="s">
        <v>10</v>
      </c>
      <c r="E12" s="6" t="s">
        <v>1784</v>
      </c>
      <c r="F12" s="3"/>
      <c r="G12" s="3"/>
      <c r="H12" s="3"/>
      <c r="I12" s="3" t="s">
        <v>147</v>
      </c>
      <c r="J12" s="3" t="s">
        <v>148</v>
      </c>
      <c r="K12" s="8">
        <v>44944.382152777776</v>
      </c>
      <c r="L12" s="3"/>
      <c r="M12" s="3"/>
      <c r="N12" s="7" t="b">
        <v>0</v>
      </c>
      <c r="O12" s="3">
        <v>54</v>
      </c>
      <c r="P12" s="3">
        <v>45</v>
      </c>
      <c r="Q12" s="3">
        <v>54</v>
      </c>
      <c r="R12" s="3" t="s">
        <v>149</v>
      </c>
      <c r="S12" s="3" t="s">
        <v>148</v>
      </c>
      <c r="T12" s="3">
        <v>1</v>
      </c>
      <c r="U12" s="3" t="s">
        <v>150</v>
      </c>
      <c r="V12" s="12" t="s">
        <v>151</v>
      </c>
      <c r="W12" s="3" t="s">
        <v>152</v>
      </c>
    </row>
    <row r="13" spans="1:23" ht="68" customHeight="1">
      <c r="A13" s="3">
        <v>12</v>
      </c>
      <c r="B13" s="3" t="s">
        <v>77</v>
      </c>
      <c r="C13" s="3" t="s">
        <v>78</v>
      </c>
      <c r="D13" s="6" t="s">
        <v>10</v>
      </c>
      <c r="E13" s="6" t="s">
        <v>105</v>
      </c>
      <c r="F13" s="3"/>
      <c r="G13" s="3" t="s">
        <v>105</v>
      </c>
      <c r="H13" s="3"/>
      <c r="I13" s="3" t="s">
        <v>153</v>
      </c>
      <c r="J13" s="3" t="s">
        <v>154</v>
      </c>
      <c r="K13" s="8"/>
      <c r="L13" s="3"/>
      <c r="M13" s="3"/>
      <c r="N13" s="7" t="b">
        <v>0</v>
      </c>
      <c r="O13" s="3"/>
      <c r="P13" s="3">
        <v>192</v>
      </c>
      <c r="Q13" s="3"/>
      <c r="R13" s="3" t="s">
        <v>108</v>
      </c>
      <c r="S13" s="3" t="s">
        <v>90</v>
      </c>
      <c r="T13" s="3">
        <v>1</v>
      </c>
      <c r="U13" s="3" t="s">
        <v>155</v>
      </c>
      <c r="V13" s="3" t="s">
        <v>156</v>
      </c>
      <c r="W13" s="3" t="s">
        <v>157</v>
      </c>
    </row>
    <row r="14" spans="1:23" ht="68" customHeight="1">
      <c r="A14" s="3">
        <v>13</v>
      </c>
      <c r="B14" s="3" t="s">
        <v>77</v>
      </c>
      <c r="C14" s="3" t="s">
        <v>78</v>
      </c>
      <c r="D14" s="6" t="s">
        <v>10</v>
      </c>
      <c r="E14" s="6" t="s">
        <v>1785</v>
      </c>
      <c r="F14" s="3"/>
      <c r="G14" s="3"/>
      <c r="H14" s="3"/>
      <c r="I14" s="3" t="s">
        <v>158</v>
      </c>
      <c r="J14" s="3" t="s">
        <v>159</v>
      </c>
      <c r="K14" s="8"/>
      <c r="L14" s="3"/>
      <c r="M14" s="3"/>
      <c r="N14" s="7" t="b">
        <v>0</v>
      </c>
      <c r="O14" s="3">
        <v>32</v>
      </c>
      <c r="P14" s="3">
        <v>20</v>
      </c>
      <c r="Q14" s="3"/>
      <c r="R14" s="3" t="s">
        <v>89</v>
      </c>
      <c r="S14" s="3" t="s">
        <v>90</v>
      </c>
      <c r="T14" s="3">
        <v>1</v>
      </c>
      <c r="U14" s="3" t="s">
        <v>160</v>
      </c>
      <c r="V14" s="12" t="s">
        <v>161</v>
      </c>
      <c r="W14" s="3" t="s">
        <v>162</v>
      </c>
    </row>
  </sheetData>
  <dataValidations count="1">
    <dataValidation type="list" sqref="D2:D14" xr:uid="{00000000-0002-0000-0200-000000000000}">
      <formula1>"CORE,CONTEXTUAL,NOT_RELEVANT"</formula1>
    </dataValidation>
  </dataValidations>
  <hyperlinks>
    <hyperlink ref="V7" r:id="rId1" xr:uid="{DA9F5365-14AE-0F41-82BA-6039E9307DC7}"/>
    <hyperlink ref="V12" r:id="rId2" xr:uid="{AECF9D75-20FD-B643-AC9C-25D0BB303A70}"/>
    <hyperlink ref="V14" r:id="rId3" xr:uid="{3B519744-BC6A-F441-8B1D-0A65220D68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showGridLines="0" workbookViewId="0"/>
  </sheetViews>
  <sheetFormatPr baseColWidth="10" defaultColWidth="8.83203125" defaultRowHeight="14"/>
  <cols>
    <col min="1" max="1" width="31" customWidth="1"/>
    <col min="2" max="2" width="29" customWidth="1"/>
    <col min="3" max="3" width="55" customWidth="1"/>
    <col min="4" max="4" width="24" customWidth="1"/>
    <col min="5" max="5" width="44" customWidth="1"/>
    <col min="6" max="7" width="20" customWidth="1"/>
  </cols>
  <sheetData>
    <row r="1" spans="1:7" ht="32" customHeight="1">
      <c r="A1" s="4" t="s">
        <v>76</v>
      </c>
      <c r="B1" s="4" t="s">
        <v>62</v>
      </c>
      <c r="C1" s="4" t="s">
        <v>63</v>
      </c>
      <c r="D1" s="4" t="s">
        <v>57</v>
      </c>
      <c r="E1" s="4" t="s">
        <v>163</v>
      </c>
      <c r="F1" s="4" t="s">
        <v>164</v>
      </c>
      <c r="G1" s="4" t="s">
        <v>165</v>
      </c>
    </row>
    <row r="2" spans="1:7">
      <c r="A2" s="3" t="s">
        <v>166</v>
      </c>
      <c r="B2" s="3" t="s">
        <v>167</v>
      </c>
      <c r="C2" s="3" t="s">
        <v>168</v>
      </c>
      <c r="D2" s="9" t="s">
        <v>10</v>
      </c>
      <c r="E2" s="3" t="s">
        <v>169</v>
      </c>
      <c r="F2" s="3" t="s">
        <v>170</v>
      </c>
      <c r="G2" s="3">
        <v>2</v>
      </c>
    </row>
    <row r="3" spans="1:7">
      <c r="A3" s="3" t="s">
        <v>171</v>
      </c>
      <c r="B3" s="3" t="s">
        <v>172</v>
      </c>
      <c r="C3" s="3" t="s">
        <v>173</v>
      </c>
      <c r="D3" s="9" t="s">
        <v>10</v>
      </c>
      <c r="E3" s="3" t="s">
        <v>169</v>
      </c>
      <c r="F3" s="3" t="s">
        <v>170</v>
      </c>
      <c r="G3" s="3">
        <v>3</v>
      </c>
    </row>
    <row r="4" spans="1:7">
      <c r="A4" s="3" t="s">
        <v>174</v>
      </c>
      <c r="B4" s="3" t="s">
        <v>175</v>
      </c>
      <c r="C4" s="3" t="s">
        <v>176</v>
      </c>
      <c r="D4" s="9" t="s">
        <v>10</v>
      </c>
      <c r="E4" s="3" t="s">
        <v>169</v>
      </c>
      <c r="F4" s="3" t="s">
        <v>170</v>
      </c>
      <c r="G4" s="3">
        <v>4</v>
      </c>
    </row>
    <row r="5" spans="1:7">
      <c r="A5" s="3" t="s">
        <v>177</v>
      </c>
      <c r="B5" s="3" t="s">
        <v>178</v>
      </c>
      <c r="C5" s="3" t="s">
        <v>179</v>
      </c>
      <c r="D5" s="9" t="s">
        <v>10</v>
      </c>
      <c r="E5" s="3" t="s">
        <v>169</v>
      </c>
      <c r="F5" s="3" t="s">
        <v>170</v>
      </c>
      <c r="G5" s="3">
        <v>5</v>
      </c>
    </row>
    <row r="6" spans="1:7">
      <c r="A6" s="3" t="s">
        <v>180</v>
      </c>
      <c r="B6" s="3" t="s">
        <v>181</v>
      </c>
      <c r="C6" s="3" t="s">
        <v>182</v>
      </c>
      <c r="D6" s="9" t="s">
        <v>10</v>
      </c>
      <c r="E6" s="3" t="s">
        <v>169</v>
      </c>
      <c r="F6" s="3" t="s">
        <v>170</v>
      </c>
      <c r="G6" s="3">
        <v>6</v>
      </c>
    </row>
    <row r="7" spans="1:7">
      <c r="A7" s="3" t="s">
        <v>183</v>
      </c>
      <c r="B7" s="3" t="s">
        <v>184</v>
      </c>
      <c r="C7" s="3" t="s">
        <v>185</v>
      </c>
      <c r="D7" s="9" t="s">
        <v>10</v>
      </c>
      <c r="E7" s="3" t="s">
        <v>169</v>
      </c>
      <c r="F7" s="3" t="s">
        <v>170</v>
      </c>
      <c r="G7" s="3">
        <v>7</v>
      </c>
    </row>
    <row r="8" spans="1:7" ht="28">
      <c r="A8" s="3" t="s">
        <v>186</v>
      </c>
      <c r="B8" s="3" t="s">
        <v>187</v>
      </c>
      <c r="C8" s="3" t="s">
        <v>188</v>
      </c>
      <c r="D8" s="9" t="s">
        <v>10</v>
      </c>
      <c r="E8" s="3" t="s">
        <v>169</v>
      </c>
      <c r="F8" s="3" t="s">
        <v>170</v>
      </c>
      <c r="G8" s="3">
        <v>8</v>
      </c>
    </row>
    <row r="9" spans="1:7">
      <c r="A9" s="3" t="s">
        <v>189</v>
      </c>
      <c r="B9" s="3" t="s">
        <v>190</v>
      </c>
      <c r="C9" s="3" t="s">
        <v>191</v>
      </c>
      <c r="D9" s="9" t="s">
        <v>10</v>
      </c>
      <c r="E9" s="3" t="s">
        <v>169</v>
      </c>
      <c r="F9" s="3" t="s">
        <v>170</v>
      </c>
      <c r="G9" s="3">
        <v>9</v>
      </c>
    </row>
    <row r="10" spans="1:7">
      <c r="A10" s="3" t="s">
        <v>192</v>
      </c>
      <c r="B10" s="3" t="s">
        <v>193</v>
      </c>
      <c r="C10" s="3" t="s">
        <v>194</v>
      </c>
      <c r="D10" s="9" t="s">
        <v>10</v>
      </c>
      <c r="E10" s="3" t="s">
        <v>169</v>
      </c>
      <c r="F10" s="3" t="s">
        <v>170</v>
      </c>
      <c r="G10" s="3">
        <v>10</v>
      </c>
    </row>
    <row r="11" spans="1:7">
      <c r="A11" s="3" t="s">
        <v>195</v>
      </c>
      <c r="B11" s="3" t="s">
        <v>196</v>
      </c>
      <c r="C11" s="3" t="s">
        <v>197</v>
      </c>
      <c r="D11" s="9" t="s">
        <v>10</v>
      </c>
      <c r="E11" s="3" t="s">
        <v>169</v>
      </c>
      <c r="F11" s="3" t="s">
        <v>170</v>
      </c>
      <c r="G11" s="3">
        <v>11</v>
      </c>
    </row>
    <row r="12" spans="1:7">
      <c r="A12" s="3" t="s">
        <v>198</v>
      </c>
      <c r="B12" s="3" t="s">
        <v>199</v>
      </c>
      <c r="C12" s="3" t="s">
        <v>200</v>
      </c>
      <c r="D12" s="9" t="s">
        <v>10</v>
      </c>
      <c r="E12" s="3" t="s">
        <v>169</v>
      </c>
      <c r="F12" s="3" t="s">
        <v>170</v>
      </c>
      <c r="G12" s="3">
        <v>12</v>
      </c>
    </row>
    <row r="13" spans="1:7">
      <c r="A13" s="3" t="s">
        <v>201</v>
      </c>
      <c r="B13" s="3" t="s">
        <v>202</v>
      </c>
      <c r="C13" s="3" t="s">
        <v>203</v>
      </c>
      <c r="D13" s="9" t="s">
        <v>10</v>
      </c>
      <c r="E13" s="3" t="s">
        <v>169</v>
      </c>
      <c r="F13" s="3" t="s">
        <v>170</v>
      </c>
      <c r="G13" s="3">
        <v>13</v>
      </c>
    </row>
    <row r="14" spans="1:7">
      <c r="A14" s="3" t="s">
        <v>204</v>
      </c>
      <c r="B14" s="3" t="s">
        <v>205</v>
      </c>
      <c r="C14" s="3" t="s">
        <v>80</v>
      </c>
      <c r="D14" s="9" t="s">
        <v>10</v>
      </c>
      <c r="E14" s="3" t="s">
        <v>169</v>
      </c>
      <c r="F14" s="3" t="s">
        <v>170</v>
      </c>
      <c r="G14" s="3">
        <v>14</v>
      </c>
    </row>
    <row r="15" spans="1:7" ht="28">
      <c r="A15" s="3" t="s">
        <v>206</v>
      </c>
      <c r="B15" s="3" t="s">
        <v>207</v>
      </c>
      <c r="C15" s="3" t="s">
        <v>208</v>
      </c>
      <c r="D15" s="9" t="s">
        <v>10</v>
      </c>
      <c r="E15" s="3" t="s">
        <v>169</v>
      </c>
      <c r="F15" s="3" t="s">
        <v>170</v>
      </c>
      <c r="G15" s="3">
        <v>15</v>
      </c>
    </row>
    <row r="16" spans="1:7">
      <c r="A16" s="3" t="s">
        <v>209</v>
      </c>
      <c r="B16" s="3" t="s">
        <v>210</v>
      </c>
      <c r="C16" s="3" t="s">
        <v>211</v>
      </c>
      <c r="D16" s="9" t="s">
        <v>10</v>
      </c>
      <c r="E16" s="3" t="s">
        <v>169</v>
      </c>
      <c r="F16" s="3" t="s">
        <v>170</v>
      </c>
      <c r="G16" s="3">
        <v>16</v>
      </c>
    </row>
    <row r="17" spans="1:7">
      <c r="A17" s="3" t="s">
        <v>212</v>
      </c>
      <c r="B17" s="3" t="s">
        <v>213</v>
      </c>
      <c r="C17" s="3" t="s">
        <v>214</v>
      </c>
      <c r="D17" s="9" t="s">
        <v>10</v>
      </c>
      <c r="E17" s="3" t="s">
        <v>169</v>
      </c>
      <c r="F17" s="3" t="s">
        <v>170</v>
      </c>
      <c r="G17" s="3">
        <v>17</v>
      </c>
    </row>
    <row r="18" spans="1:7">
      <c r="A18" s="3" t="s">
        <v>215</v>
      </c>
      <c r="B18" s="3" t="s">
        <v>216</v>
      </c>
      <c r="C18" s="3" t="s">
        <v>217</v>
      </c>
      <c r="D18" s="9" t="s">
        <v>10</v>
      </c>
      <c r="E18" s="3" t="s">
        <v>169</v>
      </c>
      <c r="F18" s="3" t="s">
        <v>170</v>
      </c>
      <c r="G18" s="3">
        <v>18</v>
      </c>
    </row>
    <row r="19" spans="1:7">
      <c r="A19" s="3" t="s">
        <v>218</v>
      </c>
      <c r="B19" s="3" t="s">
        <v>219</v>
      </c>
      <c r="C19" s="3" t="s">
        <v>220</v>
      </c>
      <c r="D19" s="9" t="s">
        <v>10</v>
      </c>
      <c r="E19" s="3" t="s">
        <v>169</v>
      </c>
      <c r="F19" s="3" t="s">
        <v>170</v>
      </c>
      <c r="G19" s="3">
        <v>19</v>
      </c>
    </row>
    <row r="20" spans="1:7">
      <c r="A20" s="3" t="s">
        <v>221</v>
      </c>
      <c r="B20" s="3" t="s">
        <v>222</v>
      </c>
      <c r="C20" s="3" t="s">
        <v>223</v>
      </c>
      <c r="D20" s="9" t="s">
        <v>10</v>
      </c>
      <c r="E20" s="3" t="s">
        <v>169</v>
      </c>
      <c r="F20" s="3" t="s">
        <v>170</v>
      </c>
      <c r="G20" s="3">
        <v>20</v>
      </c>
    </row>
    <row r="21" spans="1:7">
      <c r="A21" s="3" t="s">
        <v>224</v>
      </c>
      <c r="B21" s="3" t="s">
        <v>225</v>
      </c>
      <c r="C21" s="3" t="s">
        <v>226</v>
      </c>
      <c r="D21" s="9" t="s">
        <v>10</v>
      </c>
      <c r="E21" s="3" t="s">
        <v>169</v>
      </c>
      <c r="F21" s="3" t="s">
        <v>170</v>
      </c>
      <c r="G21" s="3">
        <v>21</v>
      </c>
    </row>
    <row r="22" spans="1:7">
      <c r="A22" s="3" t="s">
        <v>227</v>
      </c>
      <c r="B22" s="3" t="s">
        <v>228</v>
      </c>
      <c r="C22" s="3" t="s">
        <v>229</v>
      </c>
      <c r="D22" s="9" t="s">
        <v>10</v>
      </c>
      <c r="E22" s="3" t="s">
        <v>169</v>
      </c>
      <c r="F22" s="3" t="s">
        <v>170</v>
      </c>
      <c r="G22" s="3">
        <v>22</v>
      </c>
    </row>
    <row r="23" spans="1:7">
      <c r="A23" s="3" t="s">
        <v>230</v>
      </c>
      <c r="B23" s="3" t="s">
        <v>231</v>
      </c>
      <c r="C23" s="3" t="s">
        <v>232</v>
      </c>
      <c r="D23" s="9" t="s">
        <v>10</v>
      </c>
      <c r="E23" s="3" t="s">
        <v>169</v>
      </c>
      <c r="F23" s="3" t="s">
        <v>170</v>
      </c>
      <c r="G23" s="3">
        <v>23</v>
      </c>
    </row>
    <row r="24" spans="1:7">
      <c r="A24" s="3" t="s">
        <v>233</v>
      </c>
      <c r="B24" s="3" t="s">
        <v>234</v>
      </c>
      <c r="C24" s="3" t="s">
        <v>235</v>
      </c>
      <c r="D24" s="9" t="s">
        <v>10</v>
      </c>
      <c r="E24" s="3" t="s">
        <v>169</v>
      </c>
      <c r="F24" s="3" t="s">
        <v>170</v>
      </c>
      <c r="G24" s="3">
        <v>24</v>
      </c>
    </row>
    <row r="25" spans="1:7">
      <c r="A25" s="3" t="s">
        <v>236</v>
      </c>
      <c r="B25" s="3" t="s">
        <v>237</v>
      </c>
      <c r="C25" s="3" t="s">
        <v>238</v>
      </c>
      <c r="D25" s="9" t="s">
        <v>10</v>
      </c>
      <c r="E25" s="3" t="s">
        <v>169</v>
      </c>
      <c r="F25" s="3" t="s">
        <v>170</v>
      </c>
      <c r="G25" s="3">
        <v>25</v>
      </c>
    </row>
    <row r="26" spans="1:7">
      <c r="A26" s="3" t="s">
        <v>239</v>
      </c>
      <c r="B26" s="3" t="s">
        <v>240</v>
      </c>
      <c r="C26" s="3" t="s">
        <v>241</v>
      </c>
      <c r="D26" s="9" t="s">
        <v>10</v>
      </c>
      <c r="E26" s="3" t="s">
        <v>169</v>
      </c>
      <c r="F26" s="3" t="s">
        <v>170</v>
      </c>
      <c r="G26" s="3">
        <v>26</v>
      </c>
    </row>
    <row r="27" spans="1:7">
      <c r="A27" s="3" t="s">
        <v>242</v>
      </c>
      <c r="B27" s="3" t="s">
        <v>243</v>
      </c>
      <c r="C27" s="3" t="s">
        <v>244</v>
      </c>
      <c r="D27" s="9" t="s">
        <v>10</v>
      </c>
      <c r="E27" s="3" t="s">
        <v>169</v>
      </c>
      <c r="F27" s="3" t="s">
        <v>170</v>
      </c>
      <c r="G27" s="3">
        <v>27</v>
      </c>
    </row>
    <row r="28" spans="1:7" ht="28">
      <c r="A28" s="3" t="s">
        <v>245</v>
      </c>
      <c r="B28" s="3" t="s">
        <v>246</v>
      </c>
      <c r="C28" s="3" t="s">
        <v>247</v>
      </c>
      <c r="D28" s="9" t="s">
        <v>10</v>
      </c>
      <c r="E28" s="3" t="s">
        <v>169</v>
      </c>
      <c r="F28" s="3" t="s">
        <v>170</v>
      </c>
      <c r="G28" s="3">
        <v>28</v>
      </c>
    </row>
    <row r="29" spans="1:7">
      <c r="A29" s="3" t="s">
        <v>248</v>
      </c>
      <c r="B29" s="3" t="s">
        <v>249</v>
      </c>
      <c r="C29" s="3" t="s">
        <v>250</v>
      </c>
      <c r="D29" s="9" t="s">
        <v>10</v>
      </c>
      <c r="E29" s="3" t="s">
        <v>169</v>
      </c>
      <c r="F29" s="3" t="s">
        <v>170</v>
      </c>
      <c r="G29" s="3">
        <v>29</v>
      </c>
    </row>
    <row r="30" spans="1:7">
      <c r="A30" s="3" t="s">
        <v>251</v>
      </c>
      <c r="B30" s="3" t="s">
        <v>252</v>
      </c>
      <c r="C30" s="3" t="s">
        <v>253</v>
      </c>
      <c r="D30" s="9" t="s">
        <v>10</v>
      </c>
      <c r="E30" s="3" t="s">
        <v>169</v>
      </c>
      <c r="F30" s="3" t="s">
        <v>170</v>
      </c>
      <c r="G30" s="3">
        <v>30</v>
      </c>
    </row>
    <row r="31" spans="1:7">
      <c r="A31" s="3" t="s">
        <v>254</v>
      </c>
      <c r="B31" s="3" t="s">
        <v>255</v>
      </c>
      <c r="C31" s="3" t="s">
        <v>256</v>
      </c>
      <c r="D31" s="9" t="s">
        <v>10</v>
      </c>
      <c r="E31" s="3" t="s">
        <v>169</v>
      </c>
      <c r="F31" s="3" t="s">
        <v>170</v>
      </c>
      <c r="G31" s="3">
        <v>31</v>
      </c>
    </row>
    <row r="32" spans="1:7">
      <c r="A32" s="3" t="s">
        <v>257</v>
      </c>
      <c r="B32" s="3" t="s">
        <v>258</v>
      </c>
      <c r="C32" s="3" t="s">
        <v>259</v>
      </c>
      <c r="D32" s="9" t="s">
        <v>10</v>
      </c>
      <c r="E32" s="3" t="s">
        <v>169</v>
      </c>
      <c r="F32" s="3" t="s">
        <v>170</v>
      </c>
      <c r="G32" s="3">
        <v>32</v>
      </c>
    </row>
    <row r="33" spans="1:7">
      <c r="A33" s="3" t="s">
        <v>260</v>
      </c>
      <c r="B33" s="3" t="s">
        <v>261</v>
      </c>
      <c r="C33" s="3" t="s">
        <v>262</v>
      </c>
      <c r="D33" s="9" t="s">
        <v>10</v>
      </c>
      <c r="E33" s="3" t="s">
        <v>169</v>
      </c>
      <c r="F33" s="3" t="s">
        <v>170</v>
      </c>
      <c r="G33" s="3">
        <v>33</v>
      </c>
    </row>
    <row r="34" spans="1:7">
      <c r="A34" s="3" t="s">
        <v>263</v>
      </c>
      <c r="B34" s="3" t="s">
        <v>264</v>
      </c>
      <c r="C34" s="3" t="s">
        <v>265</v>
      </c>
      <c r="D34" s="9" t="s">
        <v>10</v>
      </c>
      <c r="E34" s="3" t="s">
        <v>169</v>
      </c>
      <c r="F34" s="3" t="s">
        <v>170</v>
      </c>
      <c r="G34" s="3">
        <v>34</v>
      </c>
    </row>
    <row r="35" spans="1:7">
      <c r="A35" s="3" t="s">
        <v>266</v>
      </c>
      <c r="B35" s="3" t="s">
        <v>267</v>
      </c>
      <c r="C35" s="3" t="s">
        <v>268</v>
      </c>
      <c r="D35" s="9" t="s">
        <v>10</v>
      </c>
      <c r="E35" s="3" t="s">
        <v>169</v>
      </c>
      <c r="F35" s="3" t="s">
        <v>170</v>
      </c>
      <c r="G35" s="3">
        <v>35</v>
      </c>
    </row>
    <row r="36" spans="1:7">
      <c r="A36" s="3" t="s">
        <v>269</v>
      </c>
      <c r="B36" s="3" t="s">
        <v>270</v>
      </c>
      <c r="C36" s="3" t="s">
        <v>271</v>
      </c>
      <c r="D36" s="9" t="s">
        <v>10</v>
      </c>
      <c r="E36" s="3" t="s">
        <v>169</v>
      </c>
      <c r="F36" s="3" t="s">
        <v>170</v>
      </c>
      <c r="G36" s="3">
        <v>36</v>
      </c>
    </row>
    <row r="37" spans="1:7">
      <c r="A37" s="3" t="s">
        <v>272</v>
      </c>
      <c r="B37" s="3" t="s">
        <v>273</v>
      </c>
      <c r="C37" s="3" t="s">
        <v>274</v>
      </c>
      <c r="D37" s="9" t="s">
        <v>10</v>
      </c>
      <c r="E37" s="3" t="s">
        <v>169</v>
      </c>
      <c r="F37" s="3" t="s">
        <v>170</v>
      </c>
      <c r="G37" s="3">
        <v>37</v>
      </c>
    </row>
    <row r="38" spans="1:7">
      <c r="A38" s="3" t="s">
        <v>275</v>
      </c>
      <c r="B38" s="3" t="s">
        <v>276</v>
      </c>
      <c r="C38" s="3" t="s">
        <v>277</v>
      </c>
      <c r="D38" s="9" t="s">
        <v>10</v>
      </c>
      <c r="E38" s="3" t="s">
        <v>169</v>
      </c>
      <c r="F38" s="3" t="s">
        <v>170</v>
      </c>
      <c r="G38" s="3">
        <v>38</v>
      </c>
    </row>
    <row r="39" spans="1:7">
      <c r="A39" s="3" t="s">
        <v>278</v>
      </c>
      <c r="B39" s="3" t="s">
        <v>279</v>
      </c>
      <c r="C39" s="3" t="s">
        <v>280</v>
      </c>
      <c r="D39" s="9" t="s">
        <v>10</v>
      </c>
      <c r="E39" s="3" t="s">
        <v>169</v>
      </c>
      <c r="F39" s="3" t="s">
        <v>170</v>
      </c>
      <c r="G39" s="3">
        <v>39</v>
      </c>
    </row>
    <row r="40" spans="1:7">
      <c r="A40" s="3" t="s">
        <v>281</v>
      </c>
      <c r="B40" s="3" t="s">
        <v>282</v>
      </c>
      <c r="C40" s="3" t="s">
        <v>283</v>
      </c>
      <c r="D40" s="9" t="s">
        <v>10</v>
      </c>
      <c r="E40" s="3" t="s">
        <v>169</v>
      </c>
      <c r="F40" s="3" t="s">
        <v>170</v>
      </c>
      <c r="G40" s="3">
        <v>40</v>
      </c>
    </row>
    <row r="41" spans="1:7">
      <c r="A41" s="3" t="s">
        <v>284</v>
      </c>
      <c r="B41" s="3" t="s">
        <v>285</v>
      </c>
      <c r="C41" s="3" t="s">
        <v>286</v>
      </c>
      <c r="D41" s="9" t="s">
        <v>10</v>
      </c>
      <c r="E41" s="3" t="s">
        <v>169</v>
      </c>
      <c r="F41" s="3" t="s">
        <v>170</v>
      </c>
      <c r="G41" s="3">
        <v>41</v>
      </c>
    </row>
    <row r="42" spans="1:7">
      <c r="A42" s="3" t="s">
        <v>287</v>
      </c>
      <c r="B42" s="3" t="s">
        <v>288</v>
      </c>
      <c r="C42" s="3" t="s">
        <v>289</v>
      </c>
      <c r="D42" s="9" t="s">
        <v>10</v>
      </c>
      <c r="E42" s="3" t="s">
        <v>169</v>
      </c>
      <c r="F42" s="3" t="s">
        <v>170</v>
      </c>
      <c r="G42" s="3">
        <v>42</v>
      </c>
    </row>
    <row r="43" spans="1:7">
      <c r="A43" s="3" t="s">
        <v>290</v>
      </c>
      <c r="B43" s="3" t="s">
        <v>291</v>
      </c>
      <c r="C43" s="3" t="s">
        <v>292</v>
      </c>
      <c r="D43" s="9" t="s">
        <v>10</v>
      </c>
      <c r="E43" s="3" t="s">
        <v>169</v>
      </c>
      <c r="F43" s="3" t="s">
        <v>170</v>
      </c>
      <c r="G43" s="3">
        <v>43</v>
      </c>
    </row>
    <row r="44" spans="1:7">
      <c r="A44" s="3" t="s">
        <v>293</v>
      </c>
      <c r="B44" s="3" t="s">
        <v>294</v>
      </c>
      <c r="C44" s="3" t="s">
        <v>214</v>
      </c>
      <c r="D44" s="9" t="s">
        <v>10</v>
      </c>
      <c r="E44" s="3" t="s">
        <v>169</v>
      </c>
      <c r="F44" s="3" t="s">
        <v>170</v>
      </c>
      <c r="G44" s="3">
        <v>44</v>
      </c>
    </row>
    <row r="45" spans="1:7">
      <c r="A45" s="3" t="s">
        <v>295</v>
      </c>
      <c r="B45" s="3" t="s">
        <v>296</v>
      </c>
      <c r="C45" s="3" t="s">
        <v>297</v>
      </c>
      <c r="D45" s="9" t="s">
        <v>10</v>
      </c>
      <c r="E45" s="3" t="s">
        <v>169</v>
      </c>
      <c r="F45" s="3" t="s">
        <v>170</v>
      </c>
      <c r="G45" s="3">
        <v>45</v>
      </c>
    </row>
    <row r="46" spans="1:7">
      <c r="A46" s="3" t="s">
        <v>298</v>
      </c>
      <c r="B46" s="3" t="s">
        <v>299</v>
      </c>
      <c r="C46" s="3" t="s">
        <v>300</v>
      </c>
      <c r="D46" s="9" t="s">
        <v>10</v>
      </c>
      <c r="E46" s="3" t="s">
        <v>169</v>
      </c>
      <c r="F46" s="3" t="s">
        <v>170</v>
      </c>
      <c r="G46" s="3">
        <v>46</v>
      </c>
    </row>
    <row r="47" spans="1:7">
      <c r="A47" s="3" t="s">
        <v>301</v>
      </c>
      <c r="B47" s="3" t="s">
        <v>302</v>
      </c>
      <c r="C47" s="3" t="s">
        <v>303</v>
      </c>
      <c r="D47" s="9" t="s">
        <v>10</v>
      </c>
      <c r="E47" s="3" t="s">
        <v>169</v>
      </c>
      <c r="F47" s="3" t="s">
        <v>170</v>
      </c>
      <c r="G47" s="3">
        <v>47</v>
      </c>
    </row>
    <row r="48" spans="1:7">
      <c r="A48" s="3" t="s">
        <v>304</v>
      </c>
      <c r="B48" s="3" t="s">
        <v>305</v>
      </c>
      <c r="C48" s="3" t="s">
        <v>306</v>
      </c>
      <c r="D48" s="9" t="s">
        <v>10</v>
      </c>
      <c r="E48" s="3" t="s">
        <v>169</v>
      </c>
      <c r="F48" s="3" t="s">
        <v>170</v>
      </c>
      <c r="G48" s="3">
        <v>48</v>
      </c>
    </row>
    <row r="49" spans="1:7">
      <c r="A49" s="3" t="s">
        <v>307</v>
      </c>
      <c r="B49" s="3" t="s">
        <v>308</v>
      </c>
      <c r="C49" s="3" t="s">
        <v>309</v>
      </c>
      <c r="D49" s="9" t="s">
        <v>10</v>
      </c>
      <c r="E49" s="3" t="s">
        <v>169</v>
      </c>
      <c r="F49" s="3" t="s">
        <v>170</v>
      </c>
      <c r="G49" s="3">
        <v>49</v>
      </c>
    </row>
    <row r="50" spans="1:7">
      <c r="A50" s="3" t="s">
        <v>310</v>
      </c>
      <c r="B50" s="3" t="s">
        <v>311</v>
      </c>
      <c r="C50" s="3" t="s">
        <v>312</v>
      </c>
      <c r="D50" s="9" t="s">
        <v>10</v>
      </c>
      <c r="E50" s="3" t="s">
        <v>169</v>
      </c>
      <c r="F50" s="3" t="s">
        <v>170</v>
      </c>
      <c r="G50" s="3">
        <v>50</v>
      </c>
    </row>
    <row r="51" spans="1:7">
      <c r="A51" s="3" t="s">
        <v>313</v>
      </c>
      <c r="B51" s="3" t="s">
        <v>314</v>
      </c>
      <c r="C51" s="3" t="s">
        <v>315</v>
      </c>
      <c r="D51" s="9" t="s">
        <v>10</v>
      </c>
      <c r="E51" s="3" t="s">
        <v>169</v>
      </c>
      <c r="F51" s="3" t="s">
        <v>170</v>
      </c>
      <c r="G51" s="3">
        <v>51</v>
      </c>
    </row>
    <row r="52" spans="1:7">
      <c r="A52" s="3" t="s">
        <v>316</v>
      </c>
      <c r="B52" s="3" t="s">
        <v>317</v>
      </c>
      <c r="C52" s="3" t="s">
        <v>318</v>
      </c>
      <c r="D52" s="9" t="s">
        <v>10</v>
      </c>
      <c r="E52" s="3" t="s">
        <v>169</v>
      </c>
      <c r="F52" s="3" t="s">
        <v>170</v>
      </c>
      <c r="G52" s="3">
        <v>52</v>
      </c>
    </row>
    <row r="53" spans="1:7">
      <c r="A53" s="3" t="s">
        <v>319</v>
      </c>
      <c r="B53" s="3" t="s">
        <v>320</v>
      </c>
      <c r="C53" s="3" t="s">
        <v>321</v>
      </c>
      <c r="D53" s="9" t="s">
        <v>10</v>
      </c>
      <c r="E53" s="3" t="s">
        <v>169</v>
      </c>
      <c r="F53" s="3" t="s">
        <v>170</v>
      </c>
      <c r="G53" s="3">
        <v>53</v>
      </c>
    </row>
    <row r="54" spans="1:7">
      <c r="A54" s="3" t="s">
        <v>322</v>
      </c>
      <c r="B54" s="3" t="s">
        <v>323</v>
      </c>
      <c r="C54" s="3" t="s">
        <v>324</v>
      </c>
      <c r="D54" s="9" t="s">
        <v>10</v>
      </c>
      <c r="E54" s="3" t="s">
        <v>169</v>
      </c>
      <c r="F54" s="3" t="s">
        <v>170</v>
      </c>
      <c r="G54" s="3">
        <v>54</v>
      </c>
    </row>
    <row r="55" spans="1:7">
      <c r="A55" s="3" t="s">
        <v>325</v>
      </c>
      <c r="B55" s="3" t="s">
        <v>326</v>
      </c>
      <c r="C55" s="3" t="s">
        <v>214</v>
      </c>
      <c r="D55" s="9" t="s">
        <v>10</v>
      </c>
      <c r="E55" s="3" t="s">
        <v>169</v>
      </c>
      <c r="F55" s="3" t="s">
        <v>170</v>
      </c>
      <c r="G55" s="3">
        <v>55</v>
      </c>
    </row>
    <row r="56" spans="1:7">
      <c r="A56" s="3" t="s">
        <v>327</v>
      </c>
      <c r="B56" s="3" t="s">
        <v>328</v>
      </c>
      <c r="C56" s="3" t="s">
        <v>329</v>
      </c>
      <c r="D56" s="9" t="s">
        <v>10</v>
      </c>
      <c r="E56" s="3" t="s">
        <v>169</v>
      </c>
      <c r="F56" s="3" t="s">
        <v>170</v>
      </c>
      <c r="G56" s="3">
        <v>56</v>
      </c>
    </row>
    <row r="57" spans="1:7">
      <c r="A57" s="3" t="s">
        <v>330</v>
      </c>
      <c r="B57" s="3" t="s">
        <v>331</v>
      </c>
      <c r="C57" s="3" t="s">
        <v>332</v>
      </c>
      <c r="D57" s="9" t="s">
        <v>10</v>
      </c>
      <c r="E57" s="3" t="s">
        <v>169</v>
      </c>
      <c r="F57" s="3" t="s">
        <v>170</v>
      </c>
      <c r="G57" s="3">
        <v>57</v>
      </c>
    </row>
    <row r="58" spans="1:7">
      <c r="A58" s="3" t="s">
        <v>333</v>
      </c>
      <c r="B58" s="3" t="s">
        <v>334</v>
      </c>
      <c r="C58" s="3" t="s">
        <v>335</v>
      </c>
      <c r="D58" s="9" t="s">
        <v>10</v>
      </c>
      <c r="E58" s="3" t="s">
        <v>169</v>
      </c>
      <c r="F58" s="3" t="s">
        <v>170</v>
      </c>
      <c r="G58" s="3">
        <v>58</v>
      </c>
    </row>
    <row r="59" spans="1:7">
      <c r="A59" s="3" t="s">
        <v>336</v>
      </c>
      <c r="B59" s="3" t="s">
        <v>337</v>
      </c>
      <c r="C59" s="3" t="s">
        <v>338</v>
      </c>
      <c r="D59" s="9" t="s">
        <v>10</v>
      </c>
      <c r="E59" s="3" t="s">
        <v>169</v>
      </c>
      <c r="F59" s="3" t="s">
        <v>170</v>
      </c>
      <c r="G59" s="3">
        <v>59</v>
      </c>
    </row>
    <row r="60" spans="1:7">
      <c r="A60" s="3" t="s">
        <v>339</v>
      </c>
      <c r="B60" s="3" t="s">
        <v>340</v>
      </c>
      <c r="C60" s="3" t="s">
        <v>341</v>
      </c>
      <c r="D60" s="9" t="s">
        <v>10</v>
      </c>
      <c r="E60" s="3" t="s">
        <v>169</v>
      </c>
      <c r="F60" s="3" t="s">
        <v>170</v>
      </c>
      <c r="G60" s="3">
        <v>60</v>
      </c>
    </row>
    <row r="61" spans="1:7">
      <c r="A61" s="3" t="s">
        <v>342</v>
      </c>
      <c r="B61" s="3" t="s">
        <v>343</v>
      </c>
      <c r="C61" s="3" t="s">
        <v>344</v>
      </c>
      <c r="D61" s="9" t="s">
        <v>10</v>
      </c>
      <c r="E61" s="3" t="s">
        <v>169</v>
      </c>
      <c r="F61" s="3" t="s">
        <v>170</v>
      </c>
      <c r="G61" s="3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8"/>
  <sheetViews>
    <sheetView showGridLines="0" workbookViewId="0"/>
  </sheetViews>
  <sheetFormatPr baseColWidth="10" defaultColWidth="8.83203125" defaultRowHeight="14"/>
  <cols>
    <col min="1" max="2" width="29" customWidth="1"/>
    <col min="3" max="3" width="30" customWidth="1"/>
    <col min="4" max="5" width="58" customWidth="1"/>
    <col min="6" max="6" width="48" customWidth="1"/>
    <col min="7" max="7" width="28" customWidth="1"/>
    <col min="8" max="8" width="23" customWidth="1"/>
    <col min="9" max="9" width="9" customWidth="1"/>
    <col min="10" max="10" width="44" customWidth="1"/>
    <col min="11" max="11" width="24" customWidth="1"/>
    <col min="12" max="12" width="10" customWidth="1"/>
    <col min="13" max="13" width="34" customWidth="1"/>
    <col min="14" max="14" width="44" customWidth="1"/>
  </cols>
  <sheetData>
    <row r="1" spans="1:14" ht="32" customHeight="1">
      <c r="A1" s="4" t="s">
        <v>76</v>
      </c>
      <c r="B1" s="4" t="s">
        <v>62</v>
      </c>
      <c r="C1" s="4" t="s">
        <v>345</v>
      </c>
      <c r="D1" s="4" t="s">
        <v>346</v>
      </c>
      <c r="E1" s="4" t="s">
        <v>347</v>
      </c>
      <c r="F1" s="4" t="s">
        <v>63</v>
      </c>
      <c r="G1" s="4" t="s">
        <v>348</v>
      </c>
      <c r="H1" s="4" t="s">
        <v>57</v>
      </c>
      <c r="I1" s="4" t="s">
        <v>349</v>
      </c>
      <c r="J1" s="4" t="s">
        <v>163</v>
      </c>
      <c r="K1" s="4" t="s">
        <v>164</v>
      </c>
      <c r="L1" s="4" t="s">
        <v>165</v>
      </c>
      <c r="M1" s="4" t="s">
        <v>350</v>
      </c>
      <c r="N1" s="4" t="s">
        <v>51</v>
      </c>
    </row>
    <row r="2" spans="1:14">
      <c r="A2" s="3" t="s">
        <v>351</v>
      </c>
      <c r="B2" s="3" t="s">
        <v>352</v>
      </c>
      <c r="C2" s="3" t="s">
        <v>353</v>
      </c>
      <c r="D2" s="3" t="s">
        <v>354</v>
      </c>
      <c r="E2" s="3" t="s">
        <v>354</v>
      </c>
      <c r="F2" s="3" t="s">
        <v>355</v>
      </c>
      <c r="G2" s="3" t="s">
        <v>356</v>
      </c>
      <c r="H2" s="10" t="s">
        <v>10</v>
      </c>
      <c r="I2" s="3">
        <v>0</v>
      </c>
      <c r="J2" s="3" t="s">
        <v>357</v>
      </c>
      <c r="K2" s="3" t="s">
        <v>170</v>
      </c>
      <c r="L2" s="3">
        <v>51</v>
      </c>
      <c r="M2" s="3" t="s">
        <v>358</v>
      </c>
      <c r="N2" s="3" t="s">
        <v>52</v>
      </c>
    </row>
    <row r="3" spans="1:14">
      <c r="A3" s="3" t="s">
        <v>359</v>
      </c>
      <c r="B3" s="3" t="s">
        <v>360</v>
      </c>
      <c r="C3" s="3" t="s">
        <v>361</v>
      </c>
      <c r="D3" s="3" t="s">
        <v>362</v>
      </c>
      <c r="E3" s="3" t="s">
        <v>362</v>
      </c>
      <c r="F3" s="3" t="s">
        <v>363</v>
      </c>
      <c r="G3" s="3" t="s">
        <v>356</v>
      </c>
      <c r="H3" s="10" t="s">
        <v>10</v>
      </c>
      <c r="I3" s="3">
        <v>0</v>
      </c>
      <c r="J3" s="3" t="s">
        <v>357</v>
      </c>
      <c r="K3" s="3" t="s">
        <v>170</v>
      </c>
      <c r="L3" s="3">
        <v>44</v>
      </c>
      <c r="M3" s="3" t="s">
        <v>358</v>
      </c>
      <c r="N3" s="3" t="s">
        <v>52</v>
      </c>
    </row>
    <row r="4" spans="1:14" ht="28">
      <c r="A4" s="3" t="s">
        <v>364</v>
      </c>
      <c r="B4" s="3" t="s">
        <v>365</v>
      </c>
      <c r="C4" s="3" t="s">
        <v>366</v>
      </c>
      <c r="D4" s="3" t="s">
        <v>367</v>
      </c>
      <c r="E4" s="3" t="s">
        <v>367</v>
      </c>
      <c r="F4" s="3" t="s">
        <v>368</v>
      </c>
      <c r="G4" s="3" t="s">
        <v>356</v>
      </c>
      <c r="H4" s="10" t="s">
        <v>6</v>
      </c>
      <c r="I4" s="3">
        <v>2</v>
      </c>
      <c r="J4" s="3" t="s">
        <v>357</v>
      </c>
      <c r="K4" s="3" t="s">
        <v>369</v>
      </c>
      <c r="L4" s="3">
        <v>66</v>
      </c>
      <c r="M4" s="3" t="s">
        <v>358</v>
      </c>
      <c r="N4" s="3" t="s">
        <v>52</v>
      </c>
    </row>
    <row r="5" spans="1:14" ht="28">
      <c r="A5" s="3" t="s">
        <v>370</v>
      </c>
      <c r="B5" s="3" t="s">
        <v>334</v>
      </c>
      <c r="C5" s="3" t="s">
        <v>371</v>
      </c>
      <c r="D5" s="3" t="s">
        <v>372</v>
      </c>
      <c r="E5" s="3" t="s">
        <v>372</v>
      </c>
      <c r="F5" s="3" t="s">
        <v>335</v>
      </c>
      <c r="G5" s="3" t="s">
        <v>356</v>
      </c>
      <c r="H5" s="10" t="s">
        <v>10</v>
      </c>
      <c r="I5" s="3">
        <v>0</v>
      </c>
      <c r="J5" s="3" t="s">
        <v>357</v>
      </c>
      <c r="K5" s="3" t="s">
        <v>170</v>
      </c>
      <c r="L5" s="3">
        <v>9</v>
      </c>
      <c r="M5" s="3" t="s">
        <v>358</v>
      </c>
      <c r="N5" s="3" t="s">
        <v>52</v>
      </c>
    </row>
    <row r="6" spans="1:14">
      <c r="A6" s="3" t="s">
        <v>373</v>
      </c>
      <c r="B6" s="3" t="s">
        <v>184</v>
      </c>
      <c r="C6" s="3" t="s">
        <v>374</v>
      </c>
      <c r="D6" s="3" t="s">
        <v>375</v>
      </c>
      <c r="E6" s="3" t="s">
        <v>375</v>
      </c>
      <c r="F6" s="3" t="s">
        <v>376</v>
      </c>
      <c r="G6" s="3" t="s">
        <v>356</v>
      </c>
      <c r="H6" s="10" t="s">
        <v>10</v>
      </c>
      <c r="I6" s="3">
        <v>0</v>
      </c>
      <c r="J6" s="3" t="s">
        <v>357</v>
      </c>
      <c r="K6" s="3" t="s">
        <v>369</v>
      </c>
      <c r="L6" s="3">
        <v>148</v>
      </c>
      <c r="M6" s="3" t="s">
        <v>358</v>
      </c>
      <c r="N6" s="3" t="s">
        <v>52</v>
      </c>
    </row>
    <row r="7" spans="1:14" ht="28">
      <c r="A7" s="3" t="s">
        <v>377</v>
      </c>
      <c r="B7" s="3" t="s">
        <v>378</v>
      </c>
      <c r="C7" s="3" t="s">
        <v>379</v>
      </c>
      <c r="D7" s="3" t="s">
        <v>380</v>
      </c>
      <c r="E7" s="3" t="s">
        <v>380</v>
      </c>
      <c r="F7" s="3" t="s">
        <v>381</v>
      </c>
      <c r="G7" s="3" t="s">
        <v>356</v>
      </c>
      <c r="H7" s="10" t="s">
        <v>8</v>
      </c>
      <c r="I7" s="3">
        <v>1</v>
      </c>
      <c r="J7" s="3" t="s">
        <v>357</v>
      </c>
      <c r="K7" s="3" t="s">
        <v>369</v>
      </c>
      <c r="L7" s="3">
        <v>79</v>
      </c>
      <c r="M7" s="3" t="s">
        <v>358</v>
      </c>
      <c r="N7" s="3" t="s">
        <v>52</v>
      </c>
    </row>
    <row r="8" spans="1:14" ht="28">
      <c r="A8" s="3" t="s">
        <v>284</v>
      </c>
      <c r="B8" s="3" t="s">
        <v>285</v>
      </c>
      <c r="C8" s="3" t="s">
        <v>382</v>
      </c>
      <c r="D8" s="3" t="s">
        <v>383</v>
      </c>
      <c r="E8" s="3" t="s">
        <v>383</v>
      </c>
      <c r="F8" s="3" t="s">
        <v>286</v>
      </c>
      <c r="G8" s="3" t="s">
        <v>384</v>
      </c>
      <c r="H8" s="10" t="s">
        <v>10</v>
      </c>
      <c r="I8" s="3">
        <v>0</v>
      </c>
      <c r="J8" s="3" t="s">
        <v>169</v>
      </c>
      <c r="K8" s="3" t="s">
        <v>170</v>
      </c>
      <c r="L8" s="3">
        <v>41</v>
      </c>
      <c r="M8" s="3" t="s">
        <v>358</v>
      </c>
      <c r="N8" s="3" t="s">
        <v>52</v>
      </c>
    </row>
    <row r="9" spans="1:14" ht="28">
      <c r="A9" s="3" t="s">
        <v>385</v>
      </c>
      <c r="B9" s="3" t="s">
        <v>386</v>
      </c>
      <c r="C9" s="3" t="s">
        <v>387</v>
      </c>
      <c r="D9" s="3" t="s">
        <v>388</v>
      </c>
      <c r="E9" s="3" t="s">
        <v>388</v>
      </c>
      <c r="F9" s="3" t="s">
        <v>389</v>
      </c>
      <c r="G9" s="3" t="s">
        <v>356</v>
      </c>
      <c r="H9" s="10" t="s">
        <v>10</v>
      </c>
      <c r="I9" s="3">
        <v>0</v>
      </c>
      <c r="J9" s="3" t="s">
        <v>357</v>
      </c>
      <c r="K9" s="3" t="s">
        <v>369</v>
      </c>
      <c r="L9" s="3">
        <v>175</v>
      </c>
      <c r="M9" s="3" t="s">
        <v>358</v>
      </c>
      <c r="N9" s="3" t="s">
        <v>52</v>
      </c>
    </row>
    <row r="10" spans="1:14" ht="28">
      <c r="A10" s="3" t="s">
        <v>281</v>
      </c>
      <c r="B10" s="3" t="s">
        <v>282</v>
      </c>
      <c r="C10" s="3" t="s">
        <v>390</v>
      </c>
      <c r="D10" s="3" t="s">
        <v>391</v>
      </c>
      <c r="E10" s="3" t="s">
        <v>391</v>
      </c>
      <c r="F10" s="3" t="s">
        <v>283</v>
      </c>
      <c r="G10" s="3" t="s">
        <v>384</v>
      </c>
      <c r="H10" s="10" t="s">
        <v>10</v>
      </c>
      <c r="I10" s="3">
        <v>0</v>
      </c>
      <c r="J10" s="3" t="s">
        <v>169</v>
      </c>
      <c r="K10" s="3" t="s">
        <v>170</v>
      </c>
      <c r="L10" s="3">
        <v>40</v>
      </c>
      <c r="M10" s="3" t="s">
        <v>358</v>
      </c>
      <c r="N10" s="3" t="s">
        <v>52</v>
      </c>
    </row>
    <row r="11" spans="1:14" ht="28">
      <c r="A11" s="3" t="s">
        <v>392</v>
      </c>
      <c r="B11" s="3" t="s">
        <v>393</v>
      </c>
      <c r="C11" s="3" t="s">
        <v>394</v>
      </c>
      <c r="D11" s="3" t="s">
        <v>395</v>
      </c>
      <c r="E11" s="3" t="s">
        <v>395</v>
      </c>
      <c r="F11" s="3" t="s">
        <v>396</v>
      </c>
      <c r="G11" s="3" t="s">
        <v>356</v>
      </c>
      <c r="H11" s="10" t="s">
        <v>10</v>
      </c>
      <c r="I11" s="3">
        <v>0</v>
      </c>
      <c r="J11" s="3" t="s">
        <v>357</v>
      </c>
      <c r="K11" s="3" t="s">
        <v>170</v>
      </c>
      <c r="L11" s="3">
        <v>36</v>
      </c>
      <c r="M11" s="3" t="s">
        <v>358</v>
      </c>
      <c r="N11" s="3" t="s">
        <v>52</v>
      </c>
    </row>
    <row r="12" spans="1:14" ht="28">
      <c r="A12" s="3" t="s">
        <v>397</v>
      </c>
      <c r="B12" s="3" t="s">
        <v>398</v>
      </c>
      <c r="C12" s="3" t="s">
        <v>399</v>
      </c>
      <c r="D12" s="3" t="s">
        <v>400</v>
      </c>
      <c r="E12" s="3" t="s">
        <v>400</v>
      </c>
      <c r="F12" s="3" t="s">
        <v>401</v>
      </c>
      <c r="G12" s="3" t="s">
        <v>356</v>
      </c>
      <c r="H12" s="10" t="s">
        <v>8</v>
      </c>
      <c r="I12" s="3">
        <v>1</v>
      </c>
      <c r="J12" s="3" t="s">
        <v>357</v>
      </c>
      <c r="K12" s="3" t="s">
        <v>369</v>
      </c>
      <c r="L12" s="3">
        <v>11</v>
      </c>
      <c r="M12" s="3" t="s">
        <v>358</v>
      </c>
      <c r="N12" s="3" t="s">
        <v>52</v>
      </c>
    </row>
    <row r="13" spans="1:14">
      <c r="A13" s="3" t="s">
        <v>402</v>
      </c>
      <c r="B13" s="3" t="s">
        <v>337</v>
      </c>
      <c r="C13" s="3" t="s">
        <v>403</v>
      </c>
      <c r="D13" s="3" t="s">
        <v>404</v>
      </c>
      <c r="E13" s="3" t="s">
        <v>404</v>
      </c>
      <c r="F13" s="3" t="s">
        <v>405</v>
      </c>
      <c r="G13" s="3" t="s">
        <v>356</v>
      </c>
      <c r="H13" s="10" t="s">
        <v>10</v>
      </c>
      <c r="I13" s="3">
        <v>0</v>
      </c>
      <c r="J13" s="3" t="s">
        <v>357</v>
      </c>
      <c r="K13" s="3" t="s">
        <v>369</v>
      </c>
      <c r="L13" s="3">
        <v>130</v>
      </c>
      <c r="M13" s="3" t="s">
        <v>358</v>
      </c>
      <c r="N13" s="3" t="s">
        <v>52</v>
      </c>
    </row>
    <row r="14" spans="1:14">
      <c r="A14" s="3" t="s">
        <v>406</v>
      </c>
      <c r="B14" s="3" t="s">
        <v>276</v>
      </c>
      <c r="C14" s="3" t="s">
        <v>407</v>
      </c>
      <c r="D14" s="3" t="s">
        <v>408</v>
      </c>
      <c r="E14" s="3" t="s">
        <v>408</v>
      </c>
      <c r="F14" s="3" t="s">
        <v>409</v>
      </c>
      <c r="G14" s="3" t="s">
        <v>356</v>
      </c>
      <c r="H14" s="10" t="s">
        <v>10</v>
      </c>
      <c r="I14" s="3">
        <v>0</v>
      </c>
      <c r="J14" s="3" t="s">
        <v>357</v>
      </c>
      <c r="K14" s="3" t="s">
        <v>369</v>
      </c>
      <c r="L14" s="3">
        <v>138</v>
      </c>
      <c r="M14" s="3" t="s">
        <v>358</v>
      </c>
      <c r="N14" s="3" t="s">
        <v>52</v>
      </c>
    </row>
    <row r="15" spans="1:14" ht="28">
      <c r="A15" s="3" t="s">
        <v>410</v>
      </c>
      <c r="B15" s="3" t="s">
        <v>411</v>
      </c>
      <c r="C15" s="3" t="s">
        <v>412</v>
      </c>
      <c r="D15" s="3" t="s">
        <v>413</v>
      </c>
      <c r="E15" s="3" t="s">
        <v>413</v>
      </c>
      <c r="F15" s="3" t="s">
        <v>414</v>
      </c>
      <c r="G15" s="3" t="s">
        <v>356</v>
      </c>
      <c r="H15" s="10" t="s">
        <v>8</v>
      </c>
      <c r="I15" s="3">
        <v>1</v>
      </c>
      <c r="J15" s="3" t="s">
        <v>357</v>
      </c>
      <c r="K15" s="3" t="s">
        <v>369</v>
      </c>
      <c r="L15" s="3">
        <v>53</v>
      </c>
      <c r="M15" s="3" t="s">
        <v>358</v>
      </c>
      <c r="N15" s="3" t="s">
        <v>52</v>
      </c>
    </row>
    <row r="16" spans="1:14" ht="28">
      <c r="A16" s="3" t="s">
        <v>415</v>
      </c>
      <c r="B16" s="3" t="s">
        <v>416</v>
      </c>
      <c r="C16" s="3" t="s">
        <v>417</v>
      </c>
      <c r="D16" s="3" t="s">
        <v>418</v>
      </c>
      <c r="E16" s="3" t="s">
        <v>418</v>
      </c>
      <c r="F16" s="3" t="s">
        <v>419</v>
      </c>
      <c r="G16" s="3" t="s">
        <v>356</v>
      </c>
      <c r="H16" s="10" t="s">
        <v>10</v>
      </c>
      <c r="I16" s="3">
        <v>0</v>
      </c>
      <c r="J16" s="3" t="s">
        <v>357</v>
      </c>
      <c r="K16" s="3" t="s">
        <v>369</v>
      </c>
      <c r="L16" s="3">
        <v>185</v>
      </c>
      <c r="M16" s="3" t="s">
        <v>358</v>
      </c>
      <c r="N16" s="3" t="s">
        <v>52</v>
      </c>
    </row>
    <row r="17" spans="1:14">
      <c r="A17" s="3" t="s">
        <v>420</v>
      </c>
      <c r="B17" s="3" t="s">
        <v>421</v>
      </c>
      <c r="C17" s="3" t="s">
        <v>422</v>
      </c>
      <c r="D17" s="3" t="s">
        <v>423</v>
      </c>
      <c r="E17" s="3" t="s">
        <v>423</v>
      </c>
      <c r="F17" s="3" t="s">
        <v>424</v>
      </c>
      <c r="G17" s="3" t="s">
        <v>384</v>
      </c>
      <c r="H17" s="10" t="s">
        <v>10</v>
      </c>
      <c r="I17" s="3">
        <v>0</v>
      </c>
      <c r="J17" s="3" t="s">
        <v>169</v>
      </c>
      <c r="K17" s="3" t="s">
        <v>369</v>
      </c>
      <c r="L17" s="3">
        <v>22</v>
      </c>
      <c r="M17" s="3" t="s">
        <v>358</v>
      </c>
      <c r="N17" s="3" t="s">
        <v>52</v>
      </c>
    </row>
    <row r="18" spans="1:14">
      <c r="A18" s="3" t="s">
        <v>425</v>
      </c>
      <c r="B18" s="3" t="s">
        <v>426</v>
      </c>
      <c r="C18" s="3" t="s">
        <v>427</v>
      </c>
      <c r="D18" s="3" t="s">
        <v>428</v>
      </c>
      <c r="E18" s="3" t="s">
        <v>428</v>
      </c>
      <c r="F18" s="3" t="s">
        <v>429</v>
      </c>
      <c r="G18" s="3" t="s">
        <v>384</v>
      </c>
      <c r="H18" s="10" t="s">
        <v>10</v>
      </c>
      <c r="I18" s="3">
        <v>0</v>
      </c>
      <c r="J18" s="3" t="s">
        <v>169</v>
      </c>
      <c r="K18" s="3" t="s">
        <v>369</v>
      </c>
      <c r="L18" s="3">
        <v>18</v>
      </c>
      <c r="M18" s="3" t="s">
        <v>358</v>
      </c>
      <c r="N18" s="3" t="s">
        <v>52</v>
      </c>
    </row>
    <row r="19" spans="1:14" ht="28">
      <c r="A19" s="3" t="s">
        <v>430</v>
      </c>
      <c r="B19" s="3" t="s">
        <v>431</v>
      </c>
      <c r="C19" s="3" t="s">
        <v>432</v>
      </c>
      <c r="D19" s="3" t="s">
        <v>433</v>
      </c>
      <c r="E19" s="3" t="s">
        <v>433</v>
      </c>
      <c r="F19" s="3" t="s">
        <v>389</v>
      </c>
      <c r="G19" s="3" t="s">
        <v>356</v>
      </c>
      <c r="H19" s="10" t="s">
        <v>10</v>
      </c>
      <c r="I19" s="3">
        <v>0</v>
      </c>
      <c r="J19" s="3" t="s">
        <v>357</v>
      </c>
      <c r="K19" s="3" t="s">
        <v>369</v>
      </c>
      <c r="L19" s="3">
        <v>193</v>
      </c>
      <c r="M19" s="3" t="s">
        <v>358</v>
      </c>
      <c r="N19" s="3" t="s">
        <v>52</v>
      </c>
    </row>
    <row r="20" spans="1:14">
      <c r="A20" s="3" t="s">
        <v>434</v>
      </c>
      <c r="B20" s="3" t="s">
        <v>435</v>
      </c>
      <c r="C20" s="3" t="s">
        <v>436</v>
      </c>
      <c r="D20" s="3" t="s">
        <v>437</v>
      </c>
      <c r="E20" s="3" t="s">
        <v>437</v>
      </c>
      <c r="F20" s="3" t="s">
        <v>438</v>
      </c>
      <c r="G20" s="3" t="s">
        <v>356</v>
      </c>
      <c r="H20" s="10" t="s">
        <v>10</v>
      </c>
      <c r="I20" s="3">
        <v>0</v>
      </c>
      <c r="J20" s="3" t="s">
        <v>357</v>
      </c>
      <c r="K20" s="3" t="s">
        <v>369</v>
      </c>
      <c r="L20" s="3">
        <v>158</v>
      </c>
      <c r="M20" s="3" t="s">
        <v>358</v>
      </c>
      <c r="N20" s="3" t="s">
        <v>52</v>
      </c>
    </row>
    <row r="21" spans="1:14">
      <c r="A21" s="3" t="s">
        <v>439</v>
      </c>
      <c r="B21" s="3" t="s">
        <v>184</v>
      </c>
      <c r="C21" s="3" t="s">
        <v>440</v>
      </c>
      <c r="D21" s="3" t="s">
        <v>441</v>
      </c>
      <c r="E21" s="3" t="s">
        <v>441</v>
      </c>
      <c r="F21" s="3" t="s">
        <v>442</v>
      </c>
      <c r="G21" s="3" t="s">
        <v>356</v>
      </c>
      <c r="H21" s="10" t="s">
        <v>10</v>
      </c>
      <c r="I21" s="3">
        <v>0</v>
      </c>
      <c r="J21" s="3" t="s">
        <v>357</v>
      </c>
      <c r="K21" s="3" t="s">
        <v>369</v>
      </c>
      <c r="L21" s="3">
        <v>146</v>
      </c>
      <c r="M21" s="3" t="s">
        <v>358</v>
      </c>
      <c r="N21" s="3" t="s">
        <v>52</v>
      </c>
    </row>
    <row r="22" spans="1:14">
      <c r="A22" s="3" t="s">
        <v>251</v>
      </c>
      <c r="B22" s="3" t="s">
        <v>252</v>
      </c>
      <c r="C22" s="3" t="s">
        <v>443</v>
      </c>
      <c r="D22" s="3" t="s">
        <v>444</v>
      </c>
      <c r="E22" s="3" t="s">
        <v>444</v>
      </c>
      <c r="F22" s="3" t="s">
        <v>253</v>
      </c>
      <c r="G22" s="3" t="s">
        <v>384</v>
      </c>
      <c r="H22" s="10" t="s">
        <v>10</v>
      </c>
      <c r="I22" s="3">
        <v>0</v>
      </c>
      <c r="J22" s="3" t="s">
        <v>169</v>
      </c>
      <c r="K22" s="3" t="s">
        <v>170</v>
      </c>
      <c r="L22" s="3">
        <v>30</v>
      </c>
      <c r="M22" s="3" t="s">
        <v>358</v>
      </c>
      <c r="N22" s="3" t="s">
        <v>52</v>
      </c>
    </row>
    <row r="23" spans="1:14">
      <c r="A23" s="3" t="s">
        <v>445</v>
      </c>
      <c r="B23" s="3" t="s">
        <v>446</v>
      </c>
      <c r="C23" s="3" t="s">
        <v>447</v>
      </c>
      <c r="D23" s="3" t="s">
        <v>448</v>
      </c>
      <c r="E23" s="3" t="s">
        <v>448</v>
      </c>
      <c r="F23" s="3" t="s">
        <v>449</v>
      </c>
      <c r="G23" s="3" t="s">
        <v>384</v>
      </c>
      <c r="H23" s="10" t="s">
        <v>10</v>
      </c>
      <c r="I23" s="3">
        <v>0</v>
      </c>
      <c r="J23" s="3" t="s">
        <v>169</v>
      </c>
      <c r="K23" s="3" t="s">
        <v>369</v>
      </c>
      <c r="L23" s="3">
        <v>8</v>
      </c>
      <c r="M23" s="3" t="s">
        <v>358</v>
      </c>
      <c r="N23" s="3" t="s">
        <v>52</v>
      </c>
    </row>
    <row r="24" spans="1:14" ht="28">
      <c r="A24" s="3" t="s">
        <v>450</v>
      </c>
      <c r="B24" s="3" t="s">
        <v>451</v>
      </c>
      <c r="C24" s="3" t="s">
        <v>452</v>
      </c>
      <c r="D24" s="3" t="s">
        <v>453</v>
      </c>
      <c r="E24" s="3" t="s">
        <v>453</v>
      </c>
      <c r="F24" s="3" t="s">
        <v>454</v>
      </c>
      <c r="G24" s="3" t="s">
        <v>356</v>
      </c>
      <c r="H24" s="10" t="s">
        <v>6</v>
      </c>
      <c r="I24" s="3">
        <v>2</v>
      </c>
      <c r="J24" s="3" t="s">
        <v>357</v>
      </c>
      <c r="K24" s="3" t="s">
        <v>369</v>
      </c>
      <c r="L24" s="3">
        <v>113</v>
      </c>
      <c r="M24" s="3" t="s">
        <v>358</v>
      </c>
      <c r="N24" s="3" t="s">
        <v>52</v>
      </c>
    </row>
    <row r="25" spans="1:14" ht="28">
      <c r="A25" s="3" t="s">
        <v>455</v>
      </c>
      <c r="B25" s="3" t="s">
        <v>456</v>
      </c>
      <c r="C25" s="3" t="s">
        <v>457</v>
      </c>
      <c r="D25" s="3" t="s">
        <v>458</v>
      </c>
      <c r="E25" s="3" t="s">
        <v>458</v>
      </c>
      <c r="F25" s="3" t="s">
        <v>459</v>
      </c>
      <c r="G25" s="3" t="s">
        <v>356</v>
      </c>
      <c r="H25" s="10" t="s">
        <v>6</v>
      </c>
      <c r="I25" s="3">
        <v>2</v>
      </c>
      <c r="J25" s="3" t="s">
        <v>357</v>
      </c>
      <c r="K25" s="3" t="s">
        <v>369</v>
      </c>
      <c r="L25" s="3">
        <v>36</v>
      </c>
      <c r="M25" s="3" t="s">
        <v>358</v>
      </c>
      <c r="N25" s="3" t="s">
        <v>52</v>
      </c>
    </row>
    <row r="26" spans="1:14" ht="28">
      <c r="A26" s="3" t="s">
        <v>460</v>
      </c>
      <c r="B26" s="3" t="s">
        <v>461</v>
      </c>
      <c r="C26" s="3" t="s">
        <v>462</v>
      </c>
      <c r="D26" s="3" t="s">
        <v>463</v>
      </c>
      <c r="E26" s="3" t="s">
        <v>463</v>
      </c>
      <c r="F26" s="3" t="s">
        <v>464</v>
      </c>
      <c r="G26" s="3" t="s">
        <v>356</v>
      </c>
      <c r="H26" s="10" t="s">
        <v>10</v>
      </c>
      <c r="I26" s="3">
        <v>0</v>
      </c>
      <c r="J26" s="3" t="s">
        <v>357</v>
      </c>
      <c r="K26" s="3" t="s">
        <v>369</v>
      </c>
      <c r="L26" s="3">
        <v>135</v>
      </c>
      <c r="M26" s="3" t="s">
        <v>358</v>
      </c>
      <c r="N26" s="3" t="s">
        <v>52</v>
      </c>
    </row>
    <row r="27" spans="1:14" ht="28">
      <c r="A27" s="3" t="s">
        <v>307</v>
      </c>
      <c r="B27" s="3" t="s">
        <v>308</v>
      </c>
      <c r="C27" s="3" t="s">
        <v>465</v>
      </c>
      <c r="D27" s="3" t="s">
        <v>466</v>
      </c>
      <c r="E27" s="3" t="s">
        <v>466</v>
      </c>
      <c r="F27" s="3" t="s">
        <v>309</v>
      </c>
      <c r="G27" s="3" t="s">
        <v>384</v>
      </c>
      <c r="H27" s="10" t="s">
        <v>10</v>
      </c>
      <c r="I27" s="3">
        <v>0</v>
      </c>
      <c r="J27" s="3" t="s">
        <v>169</v>
      </c>
      <c r="K27" s="3" t="s">
        <v>170</v>
      </c>
      <c r="L27" s="3">
        <v>49</v>
      </c>
      <c r="M27" s="3" t="s">
        <v>358</v>
      </c>
      <c r="N27" s="3" t="s">
        <v>52</v>
      </c>
    </row>
    <row r="28" spans="1:14" ht="28">
      <c r="A28" s="3" t="s">
        <v>230</v>
      </c>
      <c r="B28" s="3" t="s">
        <v>231</v>
      </c>
      <c r="C28" s="3" t="s">
        <v>467</v>
      </c>
      <c r="D28" s="3" t="s">
        <v>468</v>
      </c>
      <c r="E28" s="3" t="s">
        <v>468</v>
      </c>
      <c r="F28" s="3" t="s">
        <v>232</v>
      </c>
      <c r="G28" s="3" t="s">
        <v>384</v>
      </c>
      <c r="H28" s="10" t="s">
        <v>10</v>
      </c>
      <c r="I28" s="3">
        <v>0</v>
      </c>
      <c r="J28" s="3" t="s">
        <v>169</v>
      </c>
      <c r="K28" s="3" t="s">
        <v>170</v>
      </c>
      <c r="L28" s="3">
        <v>23</v>
      </c>
      <c r="M28" s="3" t="s">
        <v>358</v>
      </c>
      <c r="N28" s="3" t="s">
        <v>52</v>
      </c>
    </row>
    <row r="29" spans="1:14" ht="28">
      <c r="A29" s="3" t="s">
        <v>469</v>
      </c>
      <c r="B29" s="3" t="s">
        <v>470</v>
      </c>
      <c r="C29" s="3" t="s">
        <v>471</v>
      </c>
      <c r="D29" s="3" t="s">
        <v>472</v>
      </c>
      <c r="E29" s="3" t="s">
        <v>472</v>
      </c>
      <c r="F29" s="3" t="s">
        <v>473</v>
      </c>
      <c r="G29" s="3" t="s">
        <v>384</v>
      </c>
      <c r="H29" s="10" t="s">
        <v>10</v>
      </c>
      <c r="I29" s="3">
        <v>0</v>
      </c>
      <c r="J29" s="3" t="s">
        <v>169</v>
      </c>
      <c r="K29" s="3" t="s">
        <v>369</v>
      </c>
      <c r="L29" s="3">
        <v>24</v>
      </c>
      <c r="M29" s="3" t="s">
        <v>358</v>
      </c>
      <c r="N29" s="3" t="s">
        <v>52</v>
      </c>
    </row>
    <row r="30" spans="1:14" ht="28">
      <c r="A30" s="3" t="s">
        <v>474</v>
      </c>
      <c r="B30" s="3" t="s">
        <v>475</v>
      </c>
      <c r="C30" s="3" t="s">
        <v>476</v>
      </c>
      <c r="D30" s="3" t="s">
        <v>477</v>
      </c>
      <c r="E30" s="3" t="s">
        <v>477</v>
      </c>
      <c r="F30" s="3" t="s">
        <v>478</v>
      </c>
      <c r="G30" s="3" t="s">
        <v>356</v>
      </c>
      <c r="H30" s="10" t="s">
        <v>10</v>
      </c>
      <c r="I30" s="3">
        <v>0</v>
      </c>
      <c r="J30" s="3" t="s">
        <v>357</v>
      </c>
      <c r="K30" s="3" t="s">
        <v>369</v>
      </c>
      <c r="L30" s="3">
        <v>178</v>
      </c>
      <c r="M30" s="3" t="s">
        <v>358</v>
      </c>
      <c r="N30" s="3" t="s">
        <v>52</v>
      </c>
    </row>
    <row r="31" spans="1:14" ht="28">
      <c r="A31" s="3" t="s">
        <v>479</v>
      </c>
      <c r="B31" s="3" t="s">
        <v>480</v>
      </c>
      <c r="C31" s="3" t="s">
        <v>481</v>
      </c>
      <c r="D31" s="3" t="s">
        <v>482</v>
      </c>
      <c r="E31" s="3" t="s">
        <v>482</v>
      </c>
      <c r="F31" s="3" t="s">
        <v>483</v>
      </c>
      <c r="G31" s="3" t="s">
        <v>356</v>
      </c>
      <c r="H31" s="10" t="s">
        <v>8</v>
      </c>
      <c r="I31" s="3">
        <v>1</v>
      </c>
      <c r="J31" s="3" t="s">
        <v>357</v>
      </c>
      <c r="K31" s="3" t="s">
        <v>369</v>
      </c>
      <c r="L31" s="3">
        <v>96</v>
      </c>
      <c r="M31" s="3" t="s">
        <v>358</v>
      </c>
      <c r="N31" s="3" t="s">
        <v>52</v>
      </c>
    </row>
    <row r="32" spans="1:14" ht="28">
      <c r="A32" s="3" t="s">
        <v>484</v>
      </c>
      <c r="B32" s="3" t="s">
        <v>485</v>
      </c>
      <c r="C32" s="3" t="s">
        <v>486</v>
      </c>
      <c r="D32" s="3" t="s">
        <v>487</v>
      </c>
      <c r="E32" s="3" t="s">
        <v>487</v>
      </c>
      <c r="F32" s="3" t="s">
        <v>414</v>
      </c>
      <c r="G32" s="3" t="s">
        <v>356</v>
      </c>
      <c r="H32" s="10" t="s">
        <v>8</v>
      </c>
      <c r="I32" s="3">
        <v>1</v>
      </c>
      <c r="J32" s="3" t="s">
        <v>357</v>
      </c>
      <c r="K32" s="3" t="s">
        <v>369</v>
      </c>
      <c r="L32" s="3">
        <v>41</v>
      </c>
      <c r="M32" s="3" t="s">
        <v>358</v>
      </c>
      <c r="N32" s="3" t="s">
        <v>52</v>
      </c>
    </row>
    <row r="33" spans="1:14" ht="28">
      <c r="A33" s="3" t="s">
        <v>488</v>
      </c>
      <c r="B33" s="3" t="s">
        <v>340</v>
      </c>
      <c r="C33" s="3" t="s">
        <v>489</v>
      </c>
      <c r="D33" s="3" t="s">
        <v>490</v>
      </c>
      <c r="E33" s="3" t="s">
        <v>490</v>
      </c>
      <c r="F33" s="3" t="s">
        <v>491</v>
      </c>
      <c r="G33" s="3" t="s">
        <v>384</v>
      </c>
      <c r="H33" s="10" t="s">
        <v>10</v>
      </c>
      <c r="I33" s="3">
        <v>0</v>
      </c>
      <c r="J33" s="3" t="s">
        <v>169</v>
      </c>
      <c r="K33" s="3" t="s">
        <v>369</v>
      </c>
      <c r="L33" s="3">
        <v>16</v>
      </c>
      <c r="M33" s="3" t="s">
        <v>358</v>
      </c>
      <c r="N33" s="3" t="s">
        <v>52</v>
      </c>
    </row>
    <row r="34" spans="1:14" ht="28">
      <c r="A34" s="3" t="s">
        <v>492</v>
      </c>
      <c r="B34" s="3" t="s">
        <v>493</v>
      </c>
      <c r="C34" s="3" t="s">
        <v>494</v>
      </c>
      <c r="D34" s="3" t="s">
        <v>495</v>
      </c>
      <c r="E34" s="3" t="s">
        <v>495</v>
      </c>
      <c r="F34" s="3" t="s">
        <v>496</v>
      </c>
      <c r="G34" s="3" t="s">
        <v>356</v>
      </c>
      <c r="H34" s="10" t="s">
        <v>10</v>
      </c>
      <c r="I34" s="3">
        <v>0</v>
      </c>
      <c r="J34" s="3" t="s">
        <v>357</v>
      </c>
      <c r="K34" s="3" t="s">
        <v>170</v>
      </c>
      <c r="L34" s="3">
        <v>5</v>
      </c>
      <c r="M34" s="3" t="s">
        <v>358</v>
      </c>
      <c r="N34" s="3" t="s">
        <v>52</v>
      </c>
    </row>
    <row r="35" spans="1:14" ht="28">
      <c r="A35" s="3" t="s">
        <v>245</v>
      </c>
      <c r="B35" s="3" t="s">
        <v>246</v>
      </c>
      <c r="C35" s="3" t="s">
        <v>497</v>
      </c>
      <c r="D35" s="3" t="s">
        <v>498</v>
      </c>
      <c r="E35" s="3" t="s">
        <v>498</v>
      </c>
      <c r="F35" s="3" t="s">
        <v>247</v>
      </c>
      <c r="G35" s="3" t="s">
        <v>384</v>
      </c>
      <c r="H35" s="10" t="s">
        <v>10</v>
      </c>
      <c r="I35" s="3">
        <v>0</v>
      </c>
      <c r="J35" s="3" t="s">
        <v>169</v>
      </c>
      <c r="K35" s="3" t="s">
        <v>170</v>
      </c>
      <c r="L35" s="3">
        <v>28</v>
      </c>
      <c r="M35" s="3" t="s">
        <v>358</v>
      </c>
      <c r="N35" s="3" t="s">
        <v>52</v>
      </c>
    </row>
    <row r="36" spans="1:14">
      <c r="A36" s="3" t="s">
        <v>499</v>
      </c>
      <c r="B36" s="3" t="s">
        <v>500</v>
      </c>
      <c r="C36" s="3" t="s">
        <v>501</v>
      </c>
      <c r="D36" s="3" t="s">
        <v>502</v>
      </c>
      <c r="E36" s="3" t="s">
        <v>502</v>
      </c>
      <c r="F36" s="3" t="s">
        <v>503</v>
      </c>
      <c r="G36" s="3" t="s">
        <v>356</v>
      </c>
      <c r="H36" s="10" t="s">
        <v>10</v>
      </c>
      <c r="I36" s="3">
        <v>0</v>
      </c>
      <c r="J36" s="3" t="s">
        <v>357</v>
      </c>
      <c r="K36" s="3" t="s">
        <v>170</v>
      </c>
      <c r="L36" s="3">
        <v>43</v>
      </c>
      <c r="M36" s="3" t="s">
        <v>358</v>
      </c>
      <c r="N36" s="3" t="s">
        <v>52</v>
      </c>
    </row>
    <row r="37" spans="1:14" ht="28">
      <c r="A37" s="3" t="s">
        <v>504</v>
      </c>
      <c r="B37" s="3" t="s">
        <v>505</v>
      </c>
      <c r="C37" s="3" t="s">
        <v>506</v>
      </c>
      <c r="D37" s="3" t="s">
        <v>507</v>
      </c>
      <c r="E37" s="3" t="s">
        <v>507</v>
      </c>
      <c r="F37" s="3" t="s">
        <v>508</v>
      </c>
      <c r="G37" s="3" t="s">
        <v>384</v>
      </c>
      <c r="H37" s="10" t="s">
        <v>6</v>
      </c>
      <c r="I37" s="3">
        <v>2</v>
      </c>
      <c r="J37" s="3" t="s">
        <v>169</v>
      </c>
      <c r="K37" s="3" t="s">
        <v>369</v>
      </c>
      <c r="L37" s="3">
        <v>21</v>
      </c>
      <c r="M37" s="3" t="s">
        <v>358</v>
      </c>
      <c r="N37" s="3" t="s">
        <v>52</v>
      </c>
    </row>
    <row r="38" spans="1:14" ht="28">
      <c r="A38" s="3" t="s">
        <v>509</v>
      </c>
      <c r="B38" s="3" t="s">
        <v>510</v>
      </c>
      <c r="C38" s="3" t="s">
        <v>511</v>
      </c>
      <c r="D38" s="3" t="s">
        <v>512</v>
      </c>
      <c r="E38" s="3" t="s">
        <v>512</v>
      </c>
      <c r="F38" s="3" t="s">
        <v>513</v>
      </c>
      <c r="G38" s="3" t="s">
        <v>356</v>
      </c>
      <c r="H38" s="10" t="s">
        <v>10</v>
      </c>
      <c r="I38" s="3">
        <v>0</v>
      </c>
      <c r="J38" s="3" t="s">
        <v>357</v>
      </c>
      <c r="K38" s="3" t="s">
        <v>369</v>
      </c>
      <c r="L38" s="3">
        <v>125</v>
      </c>
      <c r="M38" s="3" t="s">
        <v>358</v>
      </c>
      <c r="N38" s="3" t="s">
        <v>52</v>
      </c>
    </row>
    <row r="39" spans="1:14">
      <c r="A39" s="3" t="s">
        <v>514</v>
      </c>
      <c r="B39" s="3" t="s">
        <v>515</v>
      </c>
      <c r="C39" s="3" t="s">
        <v>516</v>
      </c>
      <c r="D39" s="3" t="s">
        <v>517</v>
      </c>
      <c r="E39" s="3" t="s">
        <v>517</v>
      </c>
      <c r="F39" s="3" t="s">
        <v>518</v>
      </c>
      <c r="G39" s="3" t="s">
        <v>356</v>
      </c>
      <c r="H39" s="10" t="s">
        <v>10</v>
      </c>
      <c r="I39" s="3">
        <v>0</v>
      </c>
      <c r="J39" s="3" t="s">
        <v>357</v>
      </c>
      <c r="K39" s="3" t="s">
        <v>170</v>
      </c>
      <c r="L39" s="3">
        <v>32</v>
      </c>
      <c r="M39" s="3" t="s">
        <v>358</v>
      </c>
      <c r="N39" s="3" t="s">
        <v>52</v>
      </c>
    </row>
    <row r="40" spans="1:14" ht="28">
      <c r="A40" s="3" t="s">
        <v>304</v>
      </c>
      <c r="B40" s="3" t="s">
        <v>305</v>
      </c>
      <c r="C40" s="3" t="s">
        <v>519</v>
      </c>
      <c r="D40" s="3" t="s">
        <v>520</v>
      </c>
      <c r="E40" s="3" t="s">
        <v>520</v>
      </c>
      <c r="F40" s="3" t="s">
        <v>306</v>
      </c>
      <c r="G40" s="3" t="s">
        <v>384</v>
      </c>
      <c r="H40" s="10" t="s">
        <v>10</v>
      </c>
      <c r="I40" s="3">
        <v>0</v>
      </c>
      <c r="J40" s="3" t="s">
        <v>169</v>
      </c>
      <c r="K40" s="3" t="s">
        <v>170</v>
      </c>
      <c r="L40" s="3">
        <v>48</v>
      </c>
      <c r="M40" s="3" t="s">
        <v>358</v>
      </c>
      <c r="N40" s="3" t="s">
        <v>52</v>
      </c>
    </row>
    <row r="41" spans="1:14" ht="28">
      <c r="A41" s="3" t="s">
        <v>521</v>
      </c>
      <c r="B41" s="3" t="s">
        <v>181</v>
      </c>
      <c r="C41" s="3" t="s">
        <v>522</v>
      </c>
      <c r="D41" s="3" t="s">
        <v>523</v>
      </c>
      <c r="E41" s="3" t="s">
        <v>523</v>
      </c>
      <c r="F41" s="3" t="s">
        <v>524</v>
      </c>
      <c r="G41" s="3" t="s">
        <v>356</v>
      </c>
      <c r="H41" s="10" t="s">
        <v>10</v>
      </c>
      <c r="I41" s="3">
        <v>0</v>
      </c>
      <c r="J41" s="3" t="s">
        <v>357</v>
      </c>
      <c r="K41" s="3" t="s">
        <v>170</v>
      </c>
      <c r="L41" s="3">
        <v>15</v>
      </c>
      <c r="M41" s="3" t="s">
        <v>358</v>
      </c>
      <c r="N41" s="3" t="s">
        <v>52</v>
      </c>
    </row>
    <row r="42" spans="1:14" ht="28">
      <c r="A42" s="3" t="s">
        <v>525</v>
      </c>
      <c r="B42" s="3" t="s">
        <v>526</v>
      </c>
      <c r="C42" s="3" t="s">
        <v>527</v>
      </c>
      <c r="D42" s="3" t="s">
        <v>528</v>
      </c>
      <c r="E42" s="3" t="s">
        <v>528</v>
      </c>
      <c r="F42" s="3" t="s">
        <v>368</v>
      </c>
      <c r="G42" s="3" t="s">
        <v>356</v>
      </c>
      <c r="H42" s="10" t="s">
        <v>6</v>
      </c>
      <c r="I42" s="3">
        <v>2</v>
      </c>
      <c r="J42" s="3" t="s">
        <v>357</v>
      </c>
      <c r="K42" s="3" t="s">
        <v>369</v>
      </c>
      <c r="L42" s="3">
        <v>44</v>
      </c>
      <c r="M42" s="3" t="s">
        <v>358</v>
      </c>
      <c r="N42" s="3" t="s">
        <v>52</v>
      </c>
    </row>
    <row r="43" spans="1:14" ht="28">
      <c r="A43" s="3" t="s">
        <v>529</v>
      </c>
      <c r="B43" s="3" t="s">
        <v>530</v>
      </c>
      <c r="C43" s="3" t="s">
        <v>531</v>
      </c>
      <c r="D43" s="3" t="s">
        <v>532</v>
      </c>
      <c r="E43" s="3" t="s">
        <v>532</v>
      </c>
      <c r="F43" s="3" t="s">
        <v>533</v>
      </c>
      <c r="G43" s="3" t="s">
        <v>356</v>
      </c>
      <c r="H43" s="10" t="s">
        <v>8</v>
      </c>
      <c r="I43" s="3">
        <v>1</v>
      </c>
      <c r="J43" s="3" t="s">
        <v>357</v>
      </c>
      <c r="K43" s="3" t="s">
        <v>369</v>
      </c>
      <c r="L43" s="3">
        <v>10</v>
      </c>
      <c r="M43" s="3" t="s">
        <v>358</v>
      </c>
      <c r="N43" s="3" t="s">
        <v>52</v>
      </c>
    </row>
    <row r="44" spans="1:14" ht="28">
      <c r="A44" s="3" t="s">
        <v>534</v>
      </c>
      <c r="B44" s="3" t="s">
        <v>535</v>
      </c>
      <c r="C44" s="3" t="s">
        <v>536</v>
      </c>
      <c r="D44" s="3" t="s">
        <v>537</v>
      </c>
      <c r="E44" s="3" t="s">
        <v>537</v>
      </c>
      <c r="F44" s="3" t="s">
        <v>538</v>
      </c>
      <c r="G44" s="3" t="s">
        <v>356</v>
      </c>
      <c r="H44" s="10" t="s">
        <v>10</v>
      </c>
      <c r="I44" s="3">
        <v>0</v>
      </c>
      <c r="J44" s="3" t="s">
        <v>357</v>
      </c>
      <c r="K44" s="3" t="s">
        <v>170</v>
      </c>
      <c r="L44" s="3">
        <v>49</v>
      </c>
      <c r="M44" s="3" t="s">
        <v>358</v>
      </c>
      <c r="N44" s="3" t="s">
        <v>52</v>
      </c>
    </row>
    <row r="45" spans="1:14">
      <c r="A45" s="3" t="s">
        <v>539</v>
      </c>
      <c r="B45" s="3" t="s">
        <v>540</v>
      </c>
      <c r="C45" s="3" t="s">
        <v>541</v>
      </c>
      <c r="D45" s="3" t="s">
        <v>542</v>
      </c>
      <c r="E45" s="3" t="s">
        <v>542</v>
      </c>
      <c r="F45" s="3" t="s">
        <v>543</v>
      </c>
      <c r="G45" s="3" t="s">
        <v>356</v>
      </c>
      <c r="H45" s="10" t="s">
        <v>10</v>
      </c>
      <c r="I45" s="3">
        <v>0</v>
      </c>
      <c r="J45" s="3" t="s">
        <v>357</v>
      </c>
      <c r="K45" s="3" t="s">
        <v>170</v>
      </c>
      <c r="L45" s="3">
        <v>45</v>
      </c>
      <c r="M45" s="3" t="s">
        <v>358</v>
      </c>
      <c r="N45" s="3" t="s">
        <v>52</v>
      </c>
    </row>
    <row r="46" spans="1:14" ht="28">
      <c r="A46" s="3" t="s">
        <v>174</v>
      </c>
      <c r="B46" s="3" t="s">
        <v>175</v>
      </c>
      <c r="C46" s="3" t="s">
        <v>544</v>
      </c>
      <c r="D46" s="3" t="s">
        <v>545</v>
      </c>
      <c r="E46" s="3" t="s">
        <v>545</v>
      </c>
      <c r="F46" s="3" t="s">
        <v>176</v>
      </c>
      <c r="G46" s="3" t="s">
        <v>384</v>
      </c>
      <c r="H46" s="10" t="s">
        <v>10</v>
      </c>
      <c r="I46" s="3">
        <v>0</v>
      </c>
      <c r="J46" s="3" t="s">
        <v>169</v>
      </c>
      <c r="K46" s="3" t="s">
        <v>170</v>
      </c>
      <c r="L46" s="3">
        <v>4</v>
      </c>
      <c r="M46" s="3" t="s">
        <v>358</v>
      </c>
      <c r="N46" s="3" t="s">
        <v>52</v>
      </c>
    </row>
    <row r="47" spans="1:14" ht="28">
      <c r="A47" s="3" t="s">
        <v>546</v>
      </c>
      <c r="B47" s="3" t="s">
        <v>547</v>
      </c>
      <c r="C47" s="3" t="s">
        <v>548</v>
      </c>
      <c r="D47" s="3" t="s">
        <v>549</v>
      </c>
      <c r="E47" s="3" t="s">
        <v>549</v>
      </c>
      <c r="F47" s="3" t="s">
        <v>550</v>
      </c>
      <c r="G47" s="3" t="s">
        <v>356</v>
      </c>
      <c r="H47" s="10" t="s">
        <v>6</v>
      </c>
      <c r="I47" s="3">
        <v>2</v>
      </c>
      <c r="J47" s="3" t="s">
        <v>357</v>
      </c>
      <c r="K47" s="3" t="s">
        <v>369</v>
      </c>
      <c r="L47" s="3">
        <v>191</v>
      </c>
      <c r="M47" s="3" t="s">
        <v>358</v>
      </c>
      <c r="N47" s="3" t="s">
        <v>52</v>
      </c>
    </row>
    <row r="48" spans="1:14">
      <c r="A48" s="3" t="s">
        <v>551</v>
      </c>
      <c r="B48" s="3" t="s">
        <v>552</v>
      </c>
      <c r="C48" s="3" t="s">
        <v>553</v>
      </c>
      <c r="D48" s="3" t="s">
        <v>554</v>
      </c>
      <c r="E48" s="3" t="s">
        <v>554</v>
      </c>
      <c r="F48" s="3" t="s">
        <v>555</v>
      </c>
      <c r="G48" s="3" t="s">
        <v>356</v>
      </c>
      <c r="H48" s="10" t="s">
        <v>10</v>
      </c>
      <c r="I48" s="3">
        <v>0</v>
      </c>
      <c r="J48" s="3" t="s">
        <v>357</v>
      </c>
      <c r="K48" s="3" t="s">
        <v>170</v>
      </c>
      <c r="L48" s="3">
        <v>37</v>
      </c>
      <c r="M48" s="3" t="s">
        <v>358</v>
      </c>
      <c r="N48" s="3" t="s">
        <v>52</v>
      </c>
    </row>
    <row r="49" spans="1:14">
      <c r="A49" s="3" t="s">
        <v>556</v>
      </c>
      <c r="B49" s="3" t="s">
        <v>456</v>
      </c>
      <c r="C49" s="3" t="s">
        <v>557</v>
      </c>
      <c r="D49" s="3" t="s">
        <v>558</v>
      </c>
      <c r="E49" s="3" t="s">
        <v>558</v>
      </c>
      <c r="F49" s="3" t="s">
        <v>559</v>
      </c>
      <c r="G49" s="3" t="s">
        <v>356</v>
      </c>
      <c r="H49" s="10" t="s">
        <v>6</v>
      </c>
      <c r="I49" s="3">
        <v>2</v>
      </c>
      <c r="J49" s="3" t="s">
        <v>357</v>
      </c>
      <c r="K49" s="3" t="s">
        <v>369</v>
      </c>
      <c r="L49" s="3">
        <v>35</v>
      </c>
      <c r="M49" s="3" t="s">
        <v>358</v>
      </c>
      <c r="N49" s="3" t="s">
        <v>52</v>
      </c>
    </row>
    <row r="50" spans="1:14" ht="28">
      <c r="A50" s="3" t="s">
        <v>560</v>
      </c>
      <c r="B50" s="3" t="s">
        <v>561</v>
      </c>
      <c r="C50" s="3" t="s">
        <v>562</v>
      </c>
      <c r="D50" s="3" t="s">
        <v>563</v>
      </c>
      <c r="E50" s="3" t="s">
        <v>563</v>
      </c>
      <c r="F50" s="3" t="s">
        <v>564</v>
      </c>
      <c r="G50" s="3" t="s">
        <v>356</v>
      </c>
      <c r="H50" s="10" t="s">
        <v>8</v>
      </c>
      <c r="I50" s="3">
        <v>1</v>
      </c>
      <c r="J50" s="3" t="s">
        <v>357</v>
      </c>
      <c r="K50" s="3" t="s">
        <v>369</v>
      </c>
      <c r="L50" s="3">
        <v>5</v>
      </c>
      <c r="M50" s="3" t="s">
        <v>358</v>
      </c>
      <c r="N50" s="3" t="s">
        <v>52</v>
      </c>
    </row>
    <row r="51" spans="1:14">
      <c r="A51" s="3" t="s">
        <v>565</v>
      </c>
      <c r="B51" s="3" t="s">
        <v>213</v>
      </c>
      <c r="C51" s="3" t="s">
        <v>566</v>
      </c>
      <c r="D51" s="3" t="s">
        <v>567</v>
      </c>
      <c r="E51" s="3" t="s">
        <v>567</v>
      </c>
      <c r="F51" s="3" t="s">
        <v>568</v>
      </c>
      <c r="G51" s="3" t="s">
        <v>384</v>
      </c>
      <c r="H51" s="10" t="s">
        <v>10</v>
      </c>
      <c r="I51" s="3">
        <v>0</v>
      </c>
      <c r="J51" s="3" t="s">
        <v>169</v>
      </c>
      <c r="K51" s="3" t="s">
        <v>369</v>
      </c>
      <c r="L51" s="3">
        <v>19</v>
      </c>
      <c r="M51" s="3" t="s">
        <v>358</v>
      </c>
      <c r="N51" s="3" t="s">
        <v>52</v>
      </c>
    </row>
    <row r="52" spans="1:14">
      <c r="A52" s="3" t="s">
        <v>569</v>
      </c>
      <c r="B52" s="3" t="s">
        <v>570</v>
      </c>
      <c r="C52" s="3" t="s">
        <v>571</v>
      </c>
      <c r="D52" s="3" t="s">
        <v>572</v>
      </c>
      <c r="E52" s="3" t="s">
        <v>572</v>
      </c>
      <c r="F52" s="3" t="s">
        <v>573</v>
      </c>
      <c r="G52" s="3" t="s">
        <v>356</v>
      </c>
      <c r="H52" s="10" t="s">
        <v>10</v>
      </c>
      <c r="I52" s="3">
        <v>0</v>
      </c>
      <c r="J52" s="3" t="s">
        <v>357</v>
      </c>
      <c r="K52" s="3" t="s">
        <v>369</v>
      </c>
      <c r="L52" s="3">
        <v>100</v>
      </c>
      <c r="M52" s="3" t="s">
        <v>358</v>
      </c>
      <c r="N52" s="3" t="s">
        <v>52</v>
      </c>
    </row>
    <row r="53" spans="1:14">
      <c r="A53" s="3" t="s">
        <v>574</v>
      </c>
      <c r="B53" s="3" t="s">
        <v>575</v>
      </c>
      <c r="C53" s="3" t="s">
        <v>576</v>
      </c>
      <c r="D53" s="3" t="s">
        <v>577</v>
      </c>
      <c r="E53" s="3" t="s">
        <v>577</v>
      </c>
      <c r="F53" s="3" t="s">
        <v>578</v>
      </c>
      <c r="G53" s="3" t="s">
        <v>356</v>
      </c>
      <c r="H53" s="10" t="s">
        <v>10</v>
      </c>
      <c r="I53" s="3">
        <v>0</v>
      </c>
      <c r="J53" s="3" t="s">
        <v>357</v>
      </c>
      <c r="K53" s="3" t="s">
        <v>369</v>
      </c>
      <c r="L53" s="3">
        <v>120</v>
      </c>
      <c r="M53" s="3" t="s">
        <v>358</v>
      </c>
      <c r="N53" s="3" t="s">
        <v>52</v>
      </c>
    </row>
    <row r="54" spans="1:14" ht="28">
      <c r="A54" s="3" t="s">
        <v>579</v>
      </c>
      <c r="B54" s="3" t="s">
        <v>580</v>
      </c>
      <c r="C54" s="3" t="s">
        <v>581</v>
      </c>
      <c r="D54" s="3" t="s">
        <v>582</v>
      </c>
      <c r="E54" s="3" t="s">
        <v>582</v>
      </c>
      <c r="F54" s="3" t="s">
        <v>583</v>
      </c>
      <c r="G54" s="3" t="s">
        <v>356</v>
      </c>
      <c r="H54" s="10" t="s">
        <v>10</v>
      </c>
      <c r="I54" s="3">
        <v>0</v>
      </c>
      <c r="J54" s="3" t="s">
        <v>357</v>
      </c>
      <c r="K54" s="3" t="s">
        <v>170</v>
      </c>
      <c r="L54" s="3">
        <v>13</v>
      </c>
      <c r="M54" s="3" t="s">
        <v>358</v>
      </c>
      <c r="N54" s="3" t="s">
        <v>52</v>
      </c>
    </row>
    <row r="55" spans="1:14" ht="28">
      <c r="A55" s="3" t="s">
        <v>584</v>
      </c>
      <c r="B55" s="3" t="s">
        <v>585</v>
      </c>
      <c r="C55" s="3" t="s">
        <v>586</v>
      </c>
      <c r="D55" s="3" t="s">
        <v>587</v>
      </c>
      <c r="E55" s="3" t="s">
        <v>587</v>
      </c>
      <c r="F55" s="3" t="s">
        <v>588</v>
      </c>
      <c r="G55" s="3" t="s">
        <v>356</v>
      </c>
      <c r="H55" s="10" t="s">
        <v>8</v>
      </c>
      <c r="I55" s="3">
        <v>1</v>
      </c>
      <c r="J55" s="3" t="s">
        <v>357</v>
      </c>
      <c r="K55" s="3" t="s">
        <v>369</v>
      </c>
      <c r="L55" s="3">
        <v>9</v>
      </c>
      <c r="M55" s="3" t="s">
        <v>358</v>
      </c>
      <c r="N55" s="3" t="s">
        <v>52</v>
      </c>
    </row>
    <row r="56" spans="1:14" ht="28">
      <c r="A56" s="3" t="s">
        <v>589</v>
      </c>
      <c r="B56" s="3" t="s">
        <v>590</v>
      </c>
      <c r="C56" s="3" t="s">
        <v>591</v>
      </c>
      <c r="D56" s="3" t="s">
        <v>592</v>
      </c>
      <c r="E56" s="3" t="s">
        <v>592</v>
      </c>
      <c r="F56" s="3" t="s">
        <v>588</v>
      </c>
      <c r="G56" s="3" t="s">
        <v>356</v>
      </c>
      <c r="H56" s="10" t="s">
        <v>8</v>
      </c>
      <c r="I56" s="3">
        <v>1</v>
      </c>
      <c r="J56" s="3" t="s">
        <v>357</v>
      </c>
      <c r="K56" s="3" t="s">
        <v>369</v>
      </c>
      <c r="L56" s="3">
        <v>4</v>
      </c>
      <c r="M56" s="3" t="s">
        <v>358</v>
      </c>
      <c r="N56" s="3" t="s">
        <v>52</v>
      </c>
    </row>
    <row r="57" spans="1:14" ht="28">
      <c r="A57" s="3" t="s">
        <v>290</v>
      </c>
      <c r="B57" s="3" t="s">
        <v>291</v>
      </c>
      <c r="C57" s="3" t="s">
        <v>593</v>
      </c>
      <c r="D57" s="3" t="s">
        <v>594</v>
      </c>
      <c r="E57" s="3" t="s">
        <v>594</v>
      </c>
      <c r="F57" s="3" t="s">
        <v>292</v>
      </c>
      <c r="G57" s="3" t="s">
        <v>384</v>
      </c>
      <c r="H57" s="10" t="s">
        <v>10</v>
      </c>
      <c r="I57" s="3">
        <v>0</v>
      </c>
      <c r="J57" s="3" t="s">
        <v>169</v>
      </c>
      <c r="K57" s="3" t="s">
        <v>170</v>
      </c>
      <c r="L57" s="3">
        <v>43</v>
      </c>
      <c r="M57" s="3" t="s">
        <v>358</v>
      </c>
      <c r="N57" s="3" t="s">
        <v>52</v>
      </c>
    </row>
    <row r="58" spans="1:14" ht="28">
      <c r="A58" s="3" t="s">
        <v>595</v>
      </c>
      <c r="B58" s="3" t="s">
        <v>596</v>
      </c>
      <c r="C58" s="3" t="s">
        <v>597</v>
      </c>
      <c r="D58" s="3" t="s">
        <v>598</v>
      </c>
      <c r="E58" s="3" t="s">
        <v>598</v>
      </c>
      <c r="F58" s="3" t="s">
        <v>599</v>
      </c>
      <c r="G58" s="3" t="s">
        <v>356</v>
      </c>
      <c r="H58" s="10" t="s">
        <v>10</v>
      </c>
      <c r="I58" s="3">
        <v>0</v>
      </c>
      <c r="J58" s="3" t="s">
        <v>357</v>
      </c>
      <c r="K58" s="3" t="s">
        <v>369</v>
      </c>
      <c r="L58" s="3">
        <v>68</v>
      </c>
      <c r="M58" s="3" t="s">
        <v>358</v>
      </c>
      <c r="N58" s="3" t="s">
        <v>52</v>
      </c>
    </row>
    <row r="59" spans="1:14">
      <c r="A59" s="3" t="s">
        <v>600</v>
      </c>
      <c r="B59" s="3" t="s">
        <v>601</v>
      </c>
      <c r="C59" s="3" t="s">
        <v>602</v>
      </c>
      <c r="D59" s="3" t="s">
        <v>603</v>
      </c>
      <c r="E59" s="3" t="s">
        <v>603</v>
      </c>
      <c r="F59" s="3" t="s">
        <v>604</v>
      </c>
      <c r="G59" s="3" t="s">
        <v>384</v>
      </c>
      <c r="H59" s="10" t="s">
        <v>10</v>
      </c>
      <c r="I59" s="3">
        <v>0</v>
      </c>
      <c r="J59" s="3" t="s">
        <v>169</v>
      </c>
      <c r="K59" s="3" t="s">
        <v>369</v>
      </c>
      <c r="L59" s="3">
        <v>10</v>
      </c>
      <c r="M59" s="3" t="s">
        <v>358</v>
      </c>
      <c r="N59" s="3" t="s">
        <v>52</v>
      </c>
    </row>
    <row r="60" spans="1:14">
      <c r="A60" s="3" t="s">
        <v>605</v>
      </c>
      <c r="B60" s="3" t="s">
        <v>451</v>
      </c>
      <c r="C60" s="3" t="s">
        <v>606</v>
      </c>
      <c r="D60" s="3" t="s">
        <v>607</v>
      </c>
      <c r="E60" s="3" t="s">
        <v>607</v>
      </c>
      <c r="F60" s="3" t="s">
        <v>608</v>
      </c>
      <c r="G60" s="3" t="s">
        <v>356</v>
      </c>
      <c r="H60" s="10" t="s">
        <v>10</v>
      </c>
      <c r="I60" s="3">
        <v>0</v>
      </c>
      <c r="J60" s="3" t="s">
        <v>357</v>
      </c>
      <c r="K60" s="3" t="s">
        <v>369</v>
      </c>
      <c r="L60" s="3">
        <v>106</v>
      </c>
      <c r="M60" s="3" t="s">
        <v>358</v>
      </c>
      <c r="N60" s="3" t="s">
        <v>52</v>
      </c>
    </row>
    <row r="61" spans="1:14" ht="28">
      <c r="A61" s="3" t="s">
        <v>609</v>
      </c>
      <c r="B61" s="3" t="s">
        <v>610</v>
      </c>
      <c r="C61" s="3" t="s">
        <v>611</v>
      </c>
      <c r="D61" s="3" t="s">
        <v>612</v>
      </c>
      <c r="E61" s="3" t="s">
        <v>612</v>
      </c>
      <c r="F61" s="3" t="s">
        <v>414</v>
      </c>
      <c r="G61" s="3" t="s">
        <v>356</v>
      </c>
      <c r="H61" s="10" t="s">
        <v>8</v>
      </c>
      <c r="I61" s="3">
        <v>1</v>
      </c>
      <c r="J61" s="3" t="s">
        <v>357</v>
      </c>
      <c r="K61" s="3" t="s">
        <v>369</v>
      </c>
      <c r="L61" s="3">
        <v>50</v>
      </c>
      <c r="M61" s="3" t="s">
        <v>358</v>
      </c>
      <c r="N61" s="3" t="s">
        <v>52</v>
      </c>
    </row>
    <row r="62" spans="1:14">
      <c r="A62" s="3" t="s">
        <v>613</v>
      </c>
      <c r="B62" s="3" t="s">
        <v>614</v>
      </c>
      <c r="C62" s="3" t="s">
        <v>615</v>
      </c>
      <c r="D62" s="3" t="s">
        <v>616</v>
      </c>
      <c r="E62" s="3" t="s">
        <v>616</v>
      </c>
      <c r="F62" s="3" t="s">
        <v>617</v>
      </c>
      <c r="G62" s="3" t="s">
        <v>356</v>
      </c>
      <c r="H62" s="10" t="s">
        <v>6</v>
      </c>
      <c r="I62" s="3">
        <v>2</v>
      </c>
      <c r="J62" s="3" t="s">
        <v>357</v>
      </c>
      <c r="K62" s="3" t="s">
        <v>369</v>
      </c>
      <c r="L62" s="3">
        <v>62</v>
      </c>
      <c r="M62" s="3" t="s">
        <v>358</v>
      </c>
      <c r="N62" s="3" t="s">
        <v>52</v>
      </c>
    </row>
    <row r="63" spans="1:14" ht="28">
      <c r="A63" s="3" t="s">
        <v>618</v>
      </c>
      <c r="B63" s="3" t="s">
        <v>619</v>
      </c>
      <c r="C63" s="3" t="s">
        <v>620</v>
      </c>
      <c r="D63" s="3" t="s">
        <v>621</v>
      </c>
      <c r="E63" s="3" t="s">
        <v>621</v>
      </c>
      <c r="F63" s="3" t="s">
        <v>588</v>
      </c>
      <c r="G63" s="3" t="s">
        <v>356</v>
      </c>
      <c r="H63" s="10" t="s">
        <v>8</v>
      </c>
      <c r="I63" s="3">
        <v>1</v>
      </c>
      <c r="J63" s="3" t="s">
        <v>357</v>
      </c>
      <c r="K63" s="3" t="s">
        <v>369</v>
      </c>
      <c r="L63" s="3">
        <v>171</v>
      </c>
      <c r="M63" s="3" t="s">
        <v>358</v>
      </c>
      <c r="N63" s="3" t="s">
        <v>52</v>
      </c>
    </row>
    <row r="64" spans="1:14" ht="28">
      <c r="A64" s="3" t="s">
        <v>224</v>
      </c>
      <c r="B64" s="3" t="s">
        <v>225</v>
      </c>
      <c r="C64" s="3" t="s">
        <v>622</v>
      </c>
      <c r="D64" s="3" t="s">
        <v>623</v>
      </c>
      <c r="E64" s="3" t="s">
        <v>623</v>
      </c>
      <c r="F64" s="3" t="s">
        <v>226</v>
      </c>
      <c r="G64" s="3" t="s">
        <v>384</v>
      </c>
      <c r="H64" s="10" t="s">
        <v>10</v>
      </c>
      <c r="I64" s="3">
        <v>0</v>
      </c>
      <c r="J64" s="3" t="s">
        <v>169</v>
      </c>
      <c r="K64" s="3" t="s">
        <v>170</v>
      </c>
      <c r="L64" s="3">
        <v>21</v>
      </c>
      <c r="M64" s="3" t="s">
        <v>358</v>
      </c>
      <c r="N64" s="3" t="s">
        <v>52</v>
      </c>
    </row>
    <row r="65" spans="1:14" ht="28">
      <c r="A65" s="3" t="s">
        <v>310</v>
      </c>
      <c r="B65" s="3" t="s">
        <v>311</v>
      </c>
      <c r="C65" s="3" t="s">
        <v>624</v>
      </c>
      <c r="D65" s="3" t="s">
        <v>625</v>
      </c>
      <c r="E65" s="3" t="s">
        <v>625</v>
      </c>
      <c r="F65" s="3" t="s">
        <v>312</v>
      </c>
      <c r="G65" s="3" t="s">
        <v>384</v>
      </c>
      <c r="H65" s="10" t="s">
        <v>10</v>
      </c>
      <c r="I65" s="3">
        <v>0</v>
      </c>
      <c r="J65" s="3" t="s">
        <v>169</v>
      </c>
      <c r="K65" s="3" t="s">
        <v>170</v>
      </c>
      <c r="L65" s="3">
        <v>50</v>
      </c>
      <c r="M65" s="3" t="s">
        <v>358</v>
      </c>
      <c r="N65" s="3" t="s">
        <v>52</v>
      </c>
    </row>
    <row r="66" spans="1:14">
      <c r="A66" s="3" t="s">
        <v>626</v>
      </c>
      <c r="B66" s="3" t="s">
        <v>627</v>
      </c>
      <c r="C66" s="3" t="s">
        <v>628</v>
      </c>
      <c r="D66" s="3" t="s">
        <v>629</v>
      </c>
      <c r="E66" s="3" t="s">
        <v>629</v>
      </c>
      <c r="F66" s="3" t="s">
        <v>630</v>
      </c>
      <c r="G66" s="3" t="s">
        <v>384</v>
      </c>
      <c r="H66" s="10" t="s">
        <v>10</v>
      </c>
      <c r="I66" s="3">
        <v>0</v>
      </c>
      <c r="J66" s="3" t="s">
        <v>169</v>
      </c>
      <c r="K66" s="3" t="s">
        <v>369</v>
      </c>
      <c r="L66" s="3">
        <v>5</v>
      </c>
      <c r="M66" s="3" t="s">
        <v>358</v>
      </c>
      <c r="N66" s="3" t="s">
        <v>52</v>
      </c>
    </row>
    <row r="67" spans="1:14" ht="28">
      <c r="A67" s="3" t="s">
        <v>631</v>
      </c>
      <c r="B67" s="3" t="s">
        <v>632</v>
      </c>
      <c r="C67" s="3" t="s">
        <v>633</v>
      </c>
      <c r="D67" s="3" t="s">
        <v>634</v>
      </c>
      <c r="E67" s="3" t="s">
        <v>634</v>
      </c>
      <c r="F67" s="3" t="s">
        <v>588</v>
      </c>
      <c r="G67" s="3" t="s">
        <v>356</v>
      </c>
      <c r="H67" s="10" t="s">
        <v>8</v>
      </c>
      <c r="I67" s="3">
        <v>1</v>
      </c>
      <c r="J67" s="3" t="s">
        <v>357</v>
      </c>
      <c r="K67" s="3" t="s">
        <v>369</v>
      </c>
      <c r="L67" s="3">
        <v>126</v>
      </c>
      <c r="M67" s="3" t="s">
        <v>358</v>
      </c>
      <c r="N67" s="3" t="s">
        <v>52</v>
      </c>
    </row>
    <row r="68" spans="1:14" ht="28">
      <c r="A68" s="3" t="s">
        <v>635</v>
      </c>
      <c r="B68" s="3" t="s">
        <v>636</v>
      </c>
      <c r="C68" s="3" t="s">
        <v>637</v>
      </c>
      <c r="D68" s="3" t="s">
        <v>638</v>
      </c>
      <c r="E68" s="3" t="s">
        <v>638</v>
      </c>
      <c r="F68" s="3" t="s">
        <v>368</v>
      </c>
      <c r="G68" s="3" t="s">
        <v>356</v>
      </c>
      <c r="H68" s="10" t="s">
        <v>6</v>
      </c>
      <c r="I68" s="3">
        <v>2</v>
      </c>
      <c r="J68" s="3" t="s">
        <v>357</v>
      </c>
      <c r="K68" s="3" t="s">
        <v>369</v>
      </c>
      <c r="L68" s="3">
        <v>17</v>
      </c>
      <c r="M68" s="3" t="s">
        <v>358</v>
      </c>
      <c r="N68" s="3" t="s">
        <v>52</v>
      </c>
    </row>
    <row r="69" spans="1:14" ht="28">
      <c r="A69" s="3" t="s">
        <v>195</v>
      </c>
      <c r="B69" s="3" t="s">
        <v>196</v>
      </c>
      <c r="C69" s="3" t="s">
        <v>639</v>
      </c>
      <c r="D69" s="3" t="s">
        <v>640</v>
      </c>
      <c r="E69" s="3" t="s">
        <v>640</v>
      </c>
      <c r="F69" s="3" t="s">
        <v>197</v>
      </c>
      <c r="G69" s="3" t="s">
        <v>384</v>
      </c>
      <c r="H69" s="10" t="s">
        <v>10</v>
      </c>
      <c r="I69" s="3">
        <v>0</v>
      </c>
      <c r="J69" s="3" t="s">
        <v>169</v>
      </c>
      <c r="K69" s="3" t="s">
        <v>170</v>
      </c>
      <c r="L69" s="3">
        <v>11</v>
      </c>
      <c r="M69" s="3" t="s">
        <v>358</v>
      </c>
      <c r="N69" s="3" t="s">
        <v>52</v>
      </c>
    </row>
    <row r="70" spans="1:14">
      <c r="A70" s="3" t="s">
        <v>641</v>
      </c>
      <c r="B70" s="3" t="s">
        <v>337</v>
      </c>
      <c r="C70" s="3" t="s">
        <v>642</v>
      </c>
      <c r="D70" s="3" t="s">
        <v>643</v>
      </c>
      <c r="E70" s="3" t="s">
        <v>643</v>
      </c>
      <c r="F70" s="3" t="s">
        <v>644</v>
      </c>
      <c r="G70" s="3" t="s">
        <v>356</v>
      </c>
      <c r="H70" s="10" t="s">
        <v>10</v>
      </c>
      <c r="I70" s="3">
        <v>0</v>
      </c>
      <c r="J70" s="3" t="s">
        <v>357</v>
      </c>
      <c r="K70" s="3" t="s">
        <v>369</v>
      </c>
      <c r="L70" s="3">
        <v>131</v>
      </c>
      <c r="M70" s="3" t="s">
        <v>358</v>
      </c>
      <c r="N70" s="3" t="s">
        <v>52</v>
      </c>
    </row>
    <row r="71" spans="1:14">
      <c r="A71" s="3" t="s">
        <v>645</v>
      </c>
      <c r="B71" s="3" t="s">
        <v>246</v>
      </c>
      <c r="C71" s="3" t="s">
        <v>646</v>
      </c>
      <c r="D71" s="3" t="s">
        <v>647</v>
      </c>
      <c r="E71" s="3" t="s">
        <v>647</v>
      </c>
      <c r="F71" s="3" t="s">
        <v>648</v>
      </c>
      <c r="G71" s="3" t="s">
        <v>356</v>
      </c>
      <c r="H71" s="10" t="s">
        <v>10</v>
      </c>
      <c r="I71" s="3">
        <v>0</v>
      </c>
      <c r="J71" s="3" t="s">
        <v>357</v>
      </c>
      <c r="K71" s="3" t="s">
        <v>369</v>
      </c>
      <c r="L71" s="3">
        <v>196</v>
      </c>
      <c r="M71" s="3" t="s">
        <v>358</v>
      </c>
      <c r="N71" s="3" t="s">
        <v>52</v>
      </c>
    </row>
    <row r="72" spans="1:14" ht="28">
      <c r="A72" s="3" t="s">
        <v>649</v>
      </c>
      <c r="B72" s="3" t="s">
        <v>650</v>
      </c>
      <c r="C72" s="3" t="s">
        <v>651</v>
      </c>
      <c r="D72" s="3" t="s">
        <v>652</v>
      </c>
      <c r="E72" s="3" t="s">
        <v>652</v>
      </c>
      <c r="F72" s="3" t="s">
        <v>653</v>
      </c>
      <c r="G72" s="3" t="s">
        <v>384</v>
      </c>
      <c r="H72" s="10" t="s">
        <v>10</v>
      </c>
      <c r="I72" s="3">
        <v>0</v>
      </c>
      <c r="J72" s="3" t="s">
        <v>169</v>
      </c>
      <c r="K72" s="3" t="s">
        <v>369</v>
      </c>
      <c r="L72" s="3">
        <v>28</v>
      </c>
      <c r="M72" s="3" t="s">
        <v>358</v>
      </c>
      <c r="N72" s="3" t="s">
        <v>52</v>
      </c>
    </row>
    <row r="73" spans="1:14" ht="28">
      <c r="A73" s="3" t="s">
        <v>654</v>
      </c>
      <c r="B73" s="3" t="s">
        <v>655</v>
      </c>
      <c r="C73" s="3" t="s">
        <v>656</v>
      </c>
      <c r="D73" s="3" t="s">
        <v>657</v>
      </c>
      <c r="E73" s="3" t="s">
        <v>657</v>
      </c>
      <c r="F73" s="3" t="s">
        <v>658</v>
      </c>
      <c r="G73" s="3" t="s">
        <v>356</v>
      </c>
      <c r="H73" s="10" t="s">
        <v>10</v>
      </c>
      <c r="I73" s="3">
        <v>0</v>
      </c>
      <c r="J73" s="3" t="s">
        <v>357</v>
      </c>
      <c r="K73" s="3" t="s">
        <v>369</v>
      </c>
      <c r="L73" s="3">
        <v>153</v>
      </c>
      <c r="M73" s="3" t="s">
        <v>358</v>
      </c>
      <c r="N73" s="3" t="s">
        <v>52</v>
      </c>
    </row>
    <row r="74" spans="1:14" ht="28">
      <c r="A74" s="3" t="s">
        <v>287</v>
      </c>
      <c r="B74" s="3" t="s">
        <v>288</v>
      </c>
      <c r="C74" s="3" t="s">
        <v>659</v>
      </c>
      <c r="D74" s="3" t="s">
        <v>660</v>
      </c>
      <c r="E74" s="3" t="s">
        <v>660</v>
      </c>
      <c r="F74" s="3" t="s">
        <v>289</v>
      </c>
      <c r="G74" s="3" t="s">
        <v>384</v>
      </c>
      <c r="H74" s="10" t="s">
        <v>10</v>
      </c>
      <c r="I74" s="3">
        <v>0</v>
      </c>
      <c r="J74" s="3" t="s">
        <v>169</v>
      </c>
      <c r="K74" s="3" t="s">
        <v>170</v>
      </c>
      <c r="L74" s="3">
        <v>42</v>
      </c>
      <c r="M74" s="3" t="s">
        <v>358</v>
      </c>
      <c r="N74" s="3" t="s">
        <v>52</v>
      </c>
    </row>
    <row r="75" spans="1:14" ht="28">
      <c r="A75" s="3" t="s">
        <v>661</v>
      </c>
      <c r="B75" s="3" t="s">
        <v>662</v>
      </c>
      <c r="C75" s="3" t="s">
        <v>663</v>
      </c>
      <c r="D75" s="3" t="s">
        <v>664</v>
      </c>
      <c r="E75" s="3" t="s">
        <v>664</v>
      </c>
      <c r="F75" s="3" t="s">
        <v>665</v>
      </c>
      <c r="G75" s="3" t="s">
        <v>356</v>
      </c>
      <c r="H75" s="10" t="s">
        <v>10</v>
      </c>
      <c r="I75" s="3">
        <v>0</v>
      </c>
      <c r="J75" s="3" t="s">
        <v>357</v>
      </c>
      <c r="K75" s="3" t="s">
        <v>170</v>
      </c>
      <c r="L75" s="3">
        <v>46</v>
      </c>
      <c r="M75" s="3" t="s">
        <v>358</v>
      </c>
      <c r="N75" s="3" t="s">
        <v>52</v>
      </c>
    </row>
    <row r="76" spans="1:14" ht="28">
      <c r="A76" s="3" t="s">
        <v>666</v>
      </c>
      <c r="B76" s="3" t="s">
        <v>667</v>
      </c>
      <c r="C76" s="3" t="s">
        <v>668</v>
      </c>
      <c r="D76" s="3" t="s">
        <v>669</v>
      </c>
      <c r="E76" s="3" t="s">
        <v>669</v>
      </c>
      <c r="F76" s="3" t="s">
        <v>670</v>
      </c>
      <c r="G76" s="3" t="s">
        <v>356</v>
      </c>
      <c r="H76" s="10" t="s">
        <v>10</v>
      </c>
      <c r="I76" s="3">
        <v>0</v>
      </c>
      <c r="J76" s="3" t="s">
        <v>357</v>
      </c>
      <c r="K76" s="3" t="s">
        <v>170</v>
      </c>
      <c r="L76" s="3">
        <v>14</v>
      </c>
      <c r="M76" s="3" t="s">
        <v>358</v>
      </c>
      <c r="N76" s="3" t="s">
        <v>52</v>
      </c>
    </row>
    <row r="77" spans="1:14">
      <c r="A77" s="3" t="s">
        <v>671</v>
      </c>
      <c r="B77" s="3" t="s">
        <v>672</v>
      </c>
      <c r="C77" s="3" t="s">
        <v>673</v>
      </c>
      <c r="D77" s="3" t="s">
        <v>674</v>
      </c>
      <c r="E77" s="3" t="s">
        <v>674</v>
      </c>
      <c r="F77" s="3" t="s">
        <v>675</v>
      </c>
      <c r="G77" s="3" t="s">
        <v>356</v>
      </c>
      <c r="H77" s="10" t="s">
        <v>10</v>
      </c>
      <c r="I77" s="3">
        <v>0</v>
      </c>
      <c r="J77" s="3" t="s">
        <v>357</v>
      </c>
      <c r="K77" s="3" t="s">
        <v>369</v>
      </c>
      <c r="L77" s="3">
        <v>74</v>
      </c>
      <c r="M77" s="3" t="s">
        <v>358</v>
      </c>
      <c r="N77" s="3" t="s">
        <v>52</v>
      </c>
    </row>
    <row r="78" spans="1:14" ht="28">
      <c r="A78" s="3" t="s">
        <v>676</v>
      </c>
      <c r="B78" s="3" t="s">
        <v>677</v>
      </c>
      <c r="C78" s="3" t="s">
        <v>678</v>
      </c>
      <c r="D78" s="3" t="s">
        <v>679</v>
      </c>
      <c r="E78" s="3" t="s">
        <v>679</v>
      </c>
      <c r="F78" s="3" t="s">
        <v>588</v>
      </c>
      <c r="G78" s="3" t="s">
        <v>356</v>
      </c>
      <c r="H78" s="10" t="s">
        <v>8</v>
      </c>
      <c r="I78" s="3">
        <v>1</v>
      </c>
      <c r="J78" s="3" t="s">
        <v>357</v>
      </c>
      <c r="K78" s="3" t="s">
        <v>369</v>
      </c>
      <c r="L78" s="3">
        <v>173</v>
      </c>
      <c r="M78" s="3" t="s">
        <v>358</v>
      </c>
      <c r="N78" s="3" t="s">
        <v>52</v>
      </c>
    </row>
    <row r="79" spans="1:14">
      <c r="A79" s="3" t="s">
        <v>680</v>
      </c>
      <c r="B79" s="3" t="s">
        <v>681</v>
      </c>
      <c r="C79" s="3" t="s">
        <v>682</v>
      </c>
      <c r="D79" s="3" t="s">
        <v>683</v>
      </c>
      <c r="E79" s="3" t="s">
        <v>683</v>
      </c>
      <c r="F79" s="3" t="s">
        <v>684</v>
      </c>
      <c r="G79" s="3" t="s">
        <v>356</v>
      </c>
      <c r="H79" s="10" t="s">
        <v>6</v>
      </c>
      <c r="I79" s="3">
        <v>2</v>
      </c>
      <c r="J79" s="3" t="s">
        <v>357</v>
      </c>
      <c r="K79" s="3" t="s">
        <v>369</v>
      </c>
      <c r="L79" s="3">
        <v>37</v>
      </c>
      <c r="M79" s="3" t="s">
        <v>358</v>
      </c>
      <c r="N79" s="3" t="s">
        <v>52</v>
      </c>
    </row>
    <row r="80" spans="1:14" ht="28">
      <c r="A80" s="3" t="s">
        <v>685</v>
      </c>
      <c r="B80" s="3" t="s">
        <v>686</v>
      </c>
      <c r="C80" s="3" t="s">
        <v>687</v>
      </c>
      <c r="D80" s="3" t="s">
        <v>688</v>
      </c>
      <c r="E80" s="3" t="s">
        <v>688</v>
      </c>
      <c r="F80" s="3" t="s">
        <v>689</v>
      </c>
      <c r="G80" s="3" t="s">
        <v>356</v>
      </c>
      <c r="H80" s="10" t="s">
        <v>10</v>
      </c>
      <c r="I80" s="3">
        <v>0</v>
      </c>
      <c r="J80" s="3" t="s">
        <v>357</v>
      </c>
      <c r="K80" s="3" t="s">
        <v>369</v>
      </c>
      <c r="L80" s="3">
        <v>164</v>
      </c>
      <c r="M80" s="3" t="s">
        <v>358</v>
      </c>
      <c r="N80" s="3" t="s">
        <v>52</v>
      </c>
    </row>
    <row r="81" spans="1:14">
      <c r="A81" s="3" t="s">
        <v>690</v>
      </c>
      <c r="B81" s="3" t="s">
        <v>691</v>
      </c>
      <c r="C81" s="3" t="s">
        <v>692</v>
      </c>
      <c r="D81" s="3" t="s">
        <v>693</v>
      </c>
      <c r="E81" s="3" t="s">
        <v>693</v>
      </c>
      <c r="F81" s="3" t="s">
        <v>694</v>
      </c>
      <c r="G81" s="3" t="s">
        <v>384</v>
      </c>
      <c r="H81" s="10" t="s">
        <v>10</v>
      </c>
      <c r="I81" s="3">
        <v>0</v>
      </c>
      <c r="J81" s="3" t="s">
        <v>169</v>
      </c>
      <c r="K81" s="3" t="s">
        <v>369</v>
      </c>
      <c r="L81" s="3">
        <v>13</v>
      </c>
      <c r="M81" s="3" t="s">
        <v>358</v>
      </c>
      <c r="N81" s="3" t="s">
        <v>52</v>
      </c>
    </row>
    <row r="82" spans="1:14" ht="28">
      <c r="A82" s="3" t="s">
        <v>695</v>
      </c>
      <c r="B82" s="3" t="s">
        <v>696</v>
      </c>
      <c r="C82" s="3" t="s">
        <v>697</v>
      </c>
      <c r="D82" s="3" t="s">
        <v>698</v>
      </c>
      <c r="E82" s="3" t="s">
        <v>698</v>
      </c>
      <c r="F82" s="3" t="s">
        <v>699</v>
      </c>
      <c r="G82" s="3" t="s">
        <v>356</v>
      </c>
      <c r="H82" s="10" t="s">
        <v>6</v>
      </c>
      <c r="I82" s="3">
        <v>2</v>
      </c>
      <c r="J82" s="3" t="s">
        <v>357</v>
      </c>
      <c r="K82" s="3" t="s">
        <v>369</v>
      </c>
      <c r="L82" s="3">
        <v>12</v>
      </c>
      <c r="M82" s="3" t="s">
        <v>358</v>
      </c>
      <c r="N82" s="3" t="s">
        <v>52</v>
      </c>
    </row>
    <row r="83" spans="1:14">
      <c r="A83" s="3" t="s">
        <v>700</v>
      </c>
      <c r="B83" s="3" t="s">
        <v>426</v>
      </c>
      <c r="C83" s="3" t="s">
        <v>701</v>
      </c>
      <c r="D83" s="3" t="s">
        <v>702</v>
      </c>
      <c r="E83" s="3" t="s">
        <v>702</v>
      </c>
      <c r="F83" s="3" t="s">
        <v>703</v>
      </c>
      <c r="G83" s="3" t="s">
        <v>356</v>
      </c>
      <c r="H83" s="10" t="s">
        <v>10</v>
      </c>
      <c r="I83" s="3">
        <v>0</v>
      </c>
      <c r="J83" s="3" t="s">
        <v>357</v>
      </c>
      <c r="K83" s="3" t="s">
        <v>369</v>
      </c>
      <c r="L83" s="3">
        <v>124</v>
      </c>
      <c r="M83" s="3" t="s">
        <v>358</v>
      </c>
      <c r="N83" s="3" t="s">
        <v>52</v>
      </c>
    </row>
    <row r="84" spans="1:14" ht="28">
      <c r="A84" s="3" t="s">
        <v>704</v>
      </c>
      <c r="B84" s="3" t="s">
        <v>705</v>
      </c>
      <c r="C84" s="3" t="s">
        <v>706</v>
      </c>
      <c r="D84" s="3" t="s">
        <v>707</v>
      </c>
      <c r="E84" s="3" t="s">
        <v>707</v>
      </c>
      <c r="F84" s="3" t="s">
        <v>389</v>
      </c>
      <c r="G84" s="3" t="s">
        <v>356</v>
      </c>
      <c r="H84" s="10" t="s">
        <v>10</v>
      </c>
      <c r="I84" s="3">
        <v>0</v>
      </c>
      <c r="J84" s="3" t="s">
        <v>357</v>
      </c>
      <c r="K84" s="3" t="s">
        <v>369</v>
      </c>
      <c r="L84" s="3">
        <v>137</v>
      </c>
      <c r="M84" s="3" t="s">
        <v>358</v>
      </c>
      <c r="N84" s="3" t="s">
        <v>52</v>
      </c>
    </row>
    <row r="85" spans="1:14" ht="28">
      <c r="A85" s="3" t="s">
        <v>206</v>
      </c>
      <c r="B85" s="3" t="s">
        <v>207</v>
      </c>
      <c r="C85" s="3" t="s">
        <v>708</v>
      </c>
      <c r="D85" s="3" t="s">
        <v>709</v>
      </c>
      <c r="E85" s="3" t="s">
        <v>709</v>
      </c>
      <c r="F85" s="3" t="s">
        <v>208</v>
      </c>
      <c r="G85" s="3" t="s">
        <v>384</v>
      </c>
      <c r="H85" s="10" t="s">
        <v>10</v>
      </c>
      <c r="I85" s="3">
        <v>0</v>
      </c>
      <c r="J85" s="3" t="s">
        <v>169</v>
      </c>
      <c r="K85" s="3" t="s">
        <v>170</v>
      </c>
      <c r="L85" s="3">
        <v>15</v>
      </c>
      <c r="M85" s="3" t="s">
        <v>358</v>
      </c>
      <c r="N85" s="3" t="s">
        <v>52</v>
      </c>
    </row>
    <row r="86" spans="1:14" ht="28">
      <c r="A86" s="3" t="s">
        <v>248</v>
      </c>
      <c r="B86" s="3" t="s">
        <v>249</v>
      </c>
      <c r="C86" s="3" t="s">
        <v>710</v>
      </c>
      <c r="D86" s="3" t="s">
        <v>711</v>
      </c>
      <c r="E86" s="3" t="s">
        <v>711</v>
      </c>
      <c r="F86" s="3" t="s">
        <v>250</v>
      </c>
      <c r="G86" s="3" t="s">
        <v>384</v>
      </c>
      <c r="H86" s="10" t="s">
        <v>10</v>
      </c>
      <c r="I86" s="3">
        <v>0</v>
      </c>
      <c r="J86" s="3" t="s">
        <v>169</v>
      </c>
      <c r="K86" s="3" t="s">
        <v>170</v>
      </c>
      <c r="L86" s="3">
        <v>29</v>
      </c>
      <c r="M86" s="3" t="s">
        <v>358</v>
      </c>
      <c r="N86" s="3" t="s">
        <v>52</v>
      </c>
    </row>
    <row r="87" spans="1:14">
      <c r="A87" s="3" t="s">
        <v>322</v>
      </c>
      <c r="B87" s="3" t="s">
        <v>323</v>
      </c>
      <c r="C87" s="3" t="s">
        <v>712</v>
      </c>
      <c r="D87" s="3" t="s">
        <v>713</v>
      </c>
      <c r="E87" s="3" t="s">
        <v>713</v>
      </c>
      <c r="F87" s="3" t="s">
        <v>324</v>
      </c>
      <c r="G87" s="3" t="s">
        <v>384</v>
      </c>
      <c r="H87" s="10" t="s">
        <v>10</v>
      </c>
      <c r="I87" s="3">
        <v>0</v>
      </c>
      <c r="J87" s="3" t="s">
        <v>169</v>
      </c>
      <c r="K87" s="3" t="s">
        <v>170</v>
      </c>
      <c r="L87" s="3">
        <v>54</v>
      </c>
      <c r="M87" s="3" t="s">
        <v>358</v>
      </c>
      <c r="N87" s="3" t="s">
        <v>52</v>
      </c>
    </row>
    <row r="88" spans="1:14" ht="28">
      <c r="A88" s="3" t="s">
        <v>204</v>
      </c>
      <c r="B88" s="3" t="s">
        <v>205</v>
      </c>
      <c r="C88" s="3" t="s">
        <v>714</v>
      </c>
      <c r="D88" s="3" t="s">
        <v>715</v>
      </c>
      <c r="E88" s="3" t="s">
        <v>715</v>
      </c>
      <c r="F88" s="3" t="s">
        <v>80</v>
      </c>
      <c r="G88" s="3" t="s">
        <v>384</v>
      </c>
      <c r="H88" s="10" t="s">
        <v>10</v>
      </c>
      <c r="I88" s="3">
        <v>0</v>
      </c>
      <c r="J88" s="3" t="s">
        <v>169</v>
      </c>
      <c r="K88" s="3" t="s">
        <v>170</v>
      </c>
      <c r="L88" s="3">
        <v>14</v>
      </c>
      <c r="M88" s="3" t="s">
        <v>358</v>
      </c>
      <c r="N88" s="3" t="s">
        <v>52</v>
      </c>
    </row>
    <row r="89" spans="1:14">
      <c r="A89" s="3" t="s">
        <v>716</v>
      </c>
      <c r="B89" s="3" t="s">
        <v>717</v>
      </c>
      <c r="C89" s="3" t="s">
        <v>718</v>
      </c>
      <c r="D89" s="3" t="s">
        <v>719</v>
      </c>
      <c r="E89" s="3" t="s">
        <v>719</v>
      </c>
      <c r="F89" s="3" t="s">
        <v>449</v>
      </c>
      <c r="G89" s="3" t="s">
        <v>356</v>
      </c>
      <c r="H89" s="10" t="s">
        <v>10</v>
      </c>
      <c r="I89" s="3">
        <v>0</v>
      </c>
      <c r="J89" s="3" t="s">
        <v>357</v>
      </c>
      <c r="K89" s="3" t="s">
        <v>170</v>
      </c>
      <c r="L89" s="3">
        <v>35</v>
      </c>
      <c r="M89" s="3" t="s">
        <v>358</v>
      </c>
      <c r="N89" s="3" t="s">
        <v>52</v>
      </c>
    </row>
    <row r="90" spans="1:14" ht="28">
      <c r="A90" s="3" t="s">
        <v>720</v>
      </c>
      <c r="B90" s="3" t="s">
        <v>721</v>
      </c>
      <c r="C90" s="3" t="s">
        <v>722</v>
      </c>
      <c r="D90" s="3" t="s">
        <v>723</v>
      </c>
      <c r="E90" s="3" t="s">
        <v>723</v>
      </c>
      <c r="F90" s="3" t="s">
        <v>724</v>
      </c>
      <c r="G90" s="3" t="s">
        <v>356</v>
      </c>
      <c r="H90" s="10" t="s">
        <v>10</v>
      </c>
      <c r="I90" s="3">
        <v>0</v>
      </c>
      <c r="J90" s="3" t="s">
        <v>357</v>
      </c>
      <c r="K90" s="3" t="s">
        <v>369</v>
      </c>
      <c r="L90" s="3">
        <v>200</v>
      </c>
      <c r="M90" s="3" t="s">
        <v>358</v>
      </c>
      <c r="N90" s="3" t="s">
        <v>52</v>
      </c>
    </row>
    <row r="91" spans="1:14" ht="28">
      <c r="A91" s="3" t="s">
        <v>725</v>
      </c>
      <c r="B91" s="3" t="s">
        <v>726</v>
      </c>
      <c r="C91" s="3" t="s">
        <v>727</v>
      </c>
      <c r="D91" s="3" t="s">
        <v>728</v>
      </c>
      <c r="E91" s="3" t="s">
        <v>728</v>
      </c>
      <c r="F91" s="3" t="s">
        <v>729</v>
      </c>
      <c r="G91" s="3" t="s">
        <v>356</v>
      </c>
      <c r="H91" s="10" t="s">
        <v>8</v>
      </c>
      <c r="I91" s="3">
        <v>1</v>
      </c>
      <c r="J91" s="3" t="s">
        <v>357</v>
      </c>
      <c r="K91" s="3" t="s">
        <v>369</v>
      </c>
      <c r="L91" s="3">
        <v>2</v>
      </c>
      <c r="M91" s="3" t="s">
        <v>358</v>
      </c>
      <c r="N91" s="3" t="s">
        <v>52</v>
      </c>
    </row>
    <row r="92" spans="1:14">
      <c r="A92" s="3" t="s">
        <v>730</v>
      </c>
      <c r="B92" s="3" t="s">
        <v>731</v>
      </c>
      <c r="C92" s="3" t="s">
        <v>732</v>
      </c>
      <c r="D92" s="3" t="s">
        <v>733</v>
      </c>
      <c r="E92" s="3" t="s">
        <v>733</v>
      </c>
      <c r="F92" s="3" t="s">
        <v>734</v>
      </c>
      <c r="G92" s="3" t="s">
        <v>356</v>
      </c>
      <c r="H92" s="10" t="s">
        <v>10</v>
      </c>
      <c r="I92" s="3">
        <v>0</v>
      </c>
      <c r="J92" s="3" t="s">
        <v>357</v>
      </c>
      <c r="K92" s="3" t="s">
        <v>369</v>
      </c>
      <c r="L92" s="3">
        <v>87</v>
      </c>
      <c r="M92" s="3" t="s">
        <v>358</v>
      </c>
      <c r="N92" s="3" t="s">
        <v>52</v>
      </c>
    </row>
    <row r="93" spans="1:14" ht="28">
      <c r="A93" s="3" t="s">
        <v>180</v>
      </c>
      <c r="B93" s="3" t="s">
        <v>181</v>
      </c>
      <c r="C93" s="3" t="s">
        <v>735</v>
      </c>
      <c r="D93" s="3" t="s">
        <v>736</v>
      </c>
      <c r="E93" s="3" t="s">
        <v>736</v>
      </c>
      <c r="F93" s="3" t="s">
        <v>182</v>
      </c>
      <c r="G93" s="3" t="s">
        <v>384</v>
      </c>
      <c r="H93" s="10" t="s">
        <v>10</v>
      </c>
      <c r="I93" s="3">
        <v>0</v>
      </c>
      <c r="J93" s="3" t="s">
        <v>169</v>
      </c>
      <c r="K93" s="3" t="s">
        <v>170</v>
      </c>
      <c r="L93" s="3">
        <v>6</v>
      </c>
      <c r="M93" s="3" t="s">
        <v>358</v>
      </c>
      <c r="N93" s="3" t="s">
        <v>52</v>
      </c>
    </row>
    <row r="94" spans="1:14" ht="28">
      <c r="A94" s="3" t="s">
        <v>336</v>
      </c>
      <c r="B94" s="3" t="s">
        <v>337</v>
      </c>
      <c r="C94" s="3" t="s">
        <v>737</v>
      </c>
      <c r="D94" s="3" t="s">
        <v>738</v>
      </c>
      <c r="E94" s="3" t="s">
        <v>738</v>
      </c>
      <c r="F94" s="3" t="s">
        <v>338</v>
      </c>
      <c r="G94" s="3" t="s">
        <v>384</v>
      </c>
      <c r="H94" s="10" t="s">
        <v>10</v>
      </c>
      <c r="I94" s="3">
        <v>0</v>
      </c>
      <c r="J94" s="3" t="s">
        <v>169</v>
      </c>
      <c r="K94" s="3" t="s">
        <v>170</v>
      </c>
      <c r="L94" s="3">
        <v>59</v>
      </c>
      <c r="M94" s="3" t="s">
        <v>358</v>
      </c>
      <c r="N94" s="3" t="s">
        <v>52</v>
      </c>
    </row>
    <row r="95" spans="1:14" ht="28">
      <c r="A95" s="3" t="s">
        <v>739</v>
      </c>
      <c r="B95" s="3" t="s">
        <v>740</v>
      </c>
      <c r="C95" s="3" t="s">
        <v>741</v>
      </c>
      <c r="D95" s="3" t="s">
        <v>742</v>
      </c>
      <c r="E95" s="3" t="s">
        <v>742</v>
      </c>
      <c r="F95" s="3" t="s">
        <v>101</v>
      </c>
      <c r="G95" s="3" t="s">
        <v>356</v>
      </c>
      <c r="H95" s="10" t="s">
        <v>6</v>
      </c>
      <c r="I95" s="3">
        <v>2</v>
      </c>
      <c r="J95" s="3" t="s">
        <v>357</v>
      </c>
      <c r="K95" s="3" t="s">
        <v>369</v>
      </c>
      <c r="L95" s="3">
        <v>104</v>
      </c>
      <c r="M95" s="3" t="s">
        <v>358</v>
      </c>
      <c r="N95" s="3" t="s">
        <v>52</v>
      </c>
    </row>
    <row r="96" spans="1:14" ht="28">
      <c r="A96" s="3" t="s">
        <v>313</v>
      </c>
      <c r="B96" s="3" t="s">
        <v>314</v>
      </c>
      <c r="C96" s="3" t="s">
        <v>743</v>
      </c>
      <c r="D96" s="3" t="s">
        <v>744</v>
      </c>
      <c r="E96" s="3" t="s">
        <v>744</v>
      </c>
      <c r="F96" s="3" t="s">
        <v>315</v>
      </c>
      <c r="G96" s="3" t="s">
        <v>384</v>
      </c>
      <c r="H96" s="10" t="s">
        <v>10</v>
      </c>
      <c r="I96" s="3">
        <v>0</v>
      </c>
      <c r="J96" s="3" t="s">
        <v>169</v>
      </c>
      <c r="K96" s="3" t="s">
        <v>170</v>
      </c>
      <c r="L96" s="3">
        <v>51</v>
      </c>
      <c r="M96" s="3" t="s">
        <v>358</v>
      </c>
      <c r="N96" s="3" t="s">
        <v>52</v>
      </c>
    </row>
    <row r="97" spans="1:14" ht="28">
      <c r="A97" s="3" t="s">
        <v>745</v>
      </c>
      <c r="B97" s="3" t="s">
        <v>746</v>
      </c>
      <c r="C97" s="3" t="s">
        <v>747</v>
      </c>
      <c r="D97" s="3" t="s">
        <v>748</v>
      </c>
      <c r="E97" s="3" t="s">
        <v>748</v>
      </c>
      <c r="F97" s="3" t="s">
        <v>414</v>
      </c>
      <c r="G97" s="3" t="s">
        <v>356</v>
      </c>
      <c r="H97" s="10" t="s">
        <v>8</v>
      </c>
      <c r="I97" s="3">
        <v>1</v>
      </c>
      <c r="J97" s="3" t="s">
        <v>357</v>
      </c>
      <c r="K97" s="3" t="s">
        <v>369</v>
      </c>
      <c r="L97" s="3">
        <v>48</v>
      </c>
      <c r="M97" s="3" t="s">
        <v>358</v>
      </c>
      <c r="N97" s="3" t="s">
        <v>52</v>
      </c>
    </row>
    <row r="98" spans="1:14" ht="28">
      <c r="A98" s="3" t="s">
        <v>749</v>
      </c>
      <c r="B98" s="3" t="s">
        <v>672</v>
      </c>
      <c r="C98" s="3" t="s">
        <v>750</v>
      </c>
      <c r="D98" s="3" t="s">
        <v>751</v>
      </c>
      <c r="E98" s="3" t="s">
        <v>751</v>
      </c>
      <c r="F98" s="3" t="s">
        <v>752</v>
      </c>
      <c r="G98" s="3" t="s">
        <v>356</v>
      </c>
      <c r="H98" s="10" t="s">
        <v>10</v>
      </c>
      <c r="I98" s="3">
        <v>0</v>
      </c>
      <c r="J98" s="3" t="s">
        <v>357</v>
      </c>
      <c r="K98" s="3" t="s">
        <v>369</v>
      </c>
      <c r="L98" s="3">
        <v>76</v>
      </c>
      <c r="M98" s="3" t="s">
        <v>358</v>
      </c>
      <c r="N98" s="3" t="s">
        <v>52</v>
      </c>
    </row>
    <row r="99" spans="1:14">
      <c r="A99" s="3" t="s">
        <v>753</v>
      </c>
      <c r="B99" s="3" t="s">
        <v>754</v>
      </c>
      <c r="C99" s="3" t="s">
        <v>755</v>
      </c>
      <c r="D99" s="3" t="s">
        <v>756</v>
      </c>
      <c r="E99" s="3" t="s">
        <v>756</v>
      </c>
      <c r="F99" s="3" t="s">
        <v>757</v>
      </c>
      <c r="G99" s="3" t="s">
        <v>356</v>
      </c>
      <c r="H99" s="10" t="s">
        <v>6</v>
      </c>
      <c r="I99" s="3">
        <v>2</v>
      </c>
      <c r="J99" s="3" t="s">
        <v>357</v>
      </c>
      <c r="K99" s="3" t="s">
        <v>369</v>
      </c>
      <c r="L99" s="3">
        <v>59</v>
      </c>
      <c r="M99" s="3" t="s">
        <v>358</v>
      </c>
      <c r="N99" s="3" t="s">
        <v>52</v>
      </c>
    </row>
    <row r="100" spans="1:14" ht="28">
      <c r="A100" s="3" t="s">
        <v>758</v>
      </c>
      <c r="B100" s="3" t="s">
        <v>759</v>
      </c>
      <c r="C100" s="3" t="s">
        <v>760</v>
      </c>
      <c r="D100" s="3" t="s">
        <v>761</v>
      </c>
      <c r="E100" s="3" t="s">
        <v>761</v>
      </c>
      <c r="F100" s="3" t="s">
        <v>414</v>
      </c>
      <c r="G100" s="3" t="s">
        <v>356</v>
      </c>
      <c r="H100" s="10" t="s">
        <v>8</v>
      </c>
      <c r="I100" s="3">
        <v>1</v>
      </c>
      <c r="J100" s="3" t="s">
        <v>357</v>
      </c>
      <c r="K100" s="3" t="s">
        <v>369</v>
      </c>
      <c r="L100" s="3">
        <v>61</v>
      </c>
      <c r="M100" s="3" t="s">
        <v>358</v>
      </c>
      <c r="N100" s="3" t="s">
        <v>52</v>
      </c>
    </row>
    <row r="101" spans="1:14" ht="28">
      <c r="A101" s="3" t="s">
        <v>762</v>
      </c>
      <c r="B101" s="3" t="s">
        <v>763</v>
      </c>
      <c r="C101" s="3" t="s">
        <v>764</v>
      </c>
      <c r="D101" s="3" t="s">
        <v>765</v>
      </c>
      <c r="E101" s="3" t="s">
        <v>765</v>
      </c>
      <c r="F101" s="3" t="s">
        <v>766</v>
      </c>
      <c r="G101" s="3" t="s">
        <v>356</v>
      </c>
      <c r="H101" s="10" t="s">
        <v>10</v>
      </c>
      <c r="I101" s="3">
        <v>0</v>
      </c>
      <c r="J101" s="3" t="s">
        <v>357</v>
      </c>
      <c r="K101" s="3" t="s">
        <v>369</v>
      </c>
      <c r="L101" s="3">
        <v>121</v>
      </c>
      <c r="M101" s="3" t="s">
        <v>358</v>
      </c>
      <c r="N101" s="3" t="s">
        <v>52</v>
      </c>
    </row>
    <row r="102" spans="1:14" ht="28">
      <c r="A102" s="3" t="s">
        <v>198</v>
      </c>
      <c r="B102" s="3" t="s">
        <v>199</v>
      </c>
      <c r="C102" s="3" t="s">
        <v>767</v>
      </c>
      <c r="D102" s="3" t="s">
        <v>768</v>
      </c>
      <c r="E102" s="3" t="s">
        <v>768</v>
      </c>
      <c r="F102" s="3" t="s">
        <v>200</v>
      </c>
      <c r="G102" s="3" t="s">
        <v>384</v>
      </c>
      <c r="H102" s="10" t="s">
        <v>10</v>
      </c>
      <c r="I102" s="3">
        <v>0</v>
      </c>
      <c r="J102" s="3" t="s">
        <v>169</v>
      </c>
      <c r="K102" s="3" t="s">
        <v>170</v>
      </c>
      <c r="L102" s="3">
        <v>12</v>
      </c>
      <c r="M102" s="3" t="s">
        <v>358</v>
      </c>
      <c r="N102" s="3" t="s">
        <v>52</v>
      </c>
    </row>
    <row r="103" spans="1:14" ht="28">
      <c r="A103" s="3" t="s">
        <v>769</v>
      </c>
      <c r="B103" s="3" t="s">
        <v>770</v>
      </c>
      <c r="C103" s="3" t="s">
        <v>771</v>
      </c>
      <c r="D103" s="3" t="s">
        <v>772</v>
      </c>
      <c r="E103" s="3" t="s">
        <v>772</v>
      </c>
      <c r="F103" s="3" t="s">
        <v>588</v>
      </c>
      <c r="G103" s="3" t="s">
        <v>356</v>
      </c>
      <c r="H103" s="10" t="s">
        <v>8</v>
      </c>
      <c r="I103" s="3">
        <v>1</v>
      </c>
      <c r="J103" s="3" t="s">
        <v>357</v>
      </c>
      <c r="K103" s="3" t="s">
        <v>369</v>
      </c>
      <c r="L103" s="3">
        <v>186</v>
      </c>
      <c r="M103" s="3" t="s">
        <v>358</v>
      </c>
      <c r="N103" s="3" t="s">
        <v>52</v>
      </c>
    </row>
    <row r="104" spans="1:14" ht="28">
      <c r="A104" s="3" t="s">
        <v>773</v>
      </c>
      <c r="B104" s="3" t="s">
        <v>774</v>
      </c>
      <c r="C104" s="3" t="s">
        <v>775</v>
      </c>
      <c r="D104" s="3" t="s">
        <v>776</v>
      </c>
      <c r="E104" s="3" t="s">
        <v>776</v>
      </c>
      <c r="F104" s="3" t="s">
        <v>80</v>
      </c>
      <c r="G104" s="3" t="s">
        <v>356</v>
      </c>
      <c r="H104" s="10" t="s">
        <v>6</v>
      </c>
      <c r="I104" s="3">
        <v>2</v>
      </c>
      <c r="J104" s="3" t="s">
        <v>357</v>
      </c>
      <c r="K104" s="3" t="s">
        <v>369</v>
      </c>
      <c r="L104" s="3">
        <v>6</v>
      </c>
      <c r="M104" s="3" t="s">
        <v>358</v>
      </c>
      <c r="N104" s="3" t="s">
        <v>52</v>
      </c>
    </row>
    <row r="105" spans="1:14" ht="28">
      <c r="A105" s="3" t="s">
        <v>777</v>
      </c>
      <c r="B105" s="3" t="s">
        <v>681</v>
      </c>
      <c r="C105" s="3" t="s">
        <v>778</v>
      </c>
      <c r="D105" s="3" t="s">
        <v>779</v>
      </c>
      <c r="E105" s="3" t="s">
        <v>779</v>
      </c>
      <c r="F105" s="3" t="s">
        <v>780</v>
      </c>
      <c r="G105" s="3" t="s">
        <v>356</v>
      </c>
      <c r="H105" s="10" t="s">
        <v>6</v>
      </c>
      <c r="I105" s="3">
        <v>2</v>
      </c>
      <c r="J105" s="3" t="s">
        <v>357</v>
      </c>
      <c r="K105" s="3" t="s">
        <v>369</v>
      </c>
      <c r="L105" s="3">
        <v>38</v>
      </c>
      <c r="M105" s="3" t="s">
        <v>358</v>
      </c>
      <c r="N105" s="3" t="s">
        <v>52</v>
      </c>
    </row>
    <row r="106" spans="1:14" ht="28">
      <c r="A106" s="3" t="s">
        <v>781</v>
      </c>
      <c r="B106" s="3" t="s">
        <v>782</v>
      </c>
      <c r="C106" s="3" t="s">
        <v>783</v>
      </c>
      <c r="D106" s="3" t="s">
        <v>784</v>
      </c>
      <c r="E106" s="3" t="s">
        <v>784</v>
      </c>
      <c r="F106" s="3" t="s">
        <v>785</v>
      </c>
      <c r="G106" s="3" t="s">
        <v>356</v>
      </c>
      <c r="H106" s="10" t="s">
        <v>10</v>
      </c>
      <c r="I106" s="3">
        <v>0</v>
      </c>
      <c r="J106" s="3" t="s">
        <v>357</v>
      </c>
      <c r="K106" s="3" t="s">
        <v>369</v>
      </c>
      <c r="L106" s="3">
        <v>152</v>
      </c>
      <c r="M106" s="3" t="s">
        <v>358</v>
      </c>
      <c r="N106" s="3" t="s">
        <v>52</v>
      </c>
    </row>
    <row r="107" spans="1:14" ht="28">
      <c r="A107" s="3" t="s">
        <v>263</v>
      </c>
      <c r="B107" s="3" t="s">
        <v>264</v>
      </c>
      <c r="C107" s="3" t="s">
        <v>786</v>
      </c>
      <c r="D107" s="3" t="s">
        <v>787</v>
      </c>
      <c r="E107" s="3" t="s">
        <v>787</v>
      </c>
      <c r="F107" s="3" t="s">
        <v>265</v>
      </c>
      <c r="G107" s="3" t="s">
        <v>384</v>
      </c>
      <c r="H107" s="10" t="s">
        <v>10</v>
      </c>
      <c r="I107" s="3">
        <v>0</v>
      </c>
      <c r="J107" s="3" t="s">
        <v>169</v>
      </c>
      <c r="K107" s="3" t="s">
        <v>170</v>
      </c>
      <c r="L107" s="3">
        <v>34</v>
      </c>
      <c r="M107" s="3" t="s">
        <v>358</v>
      </c>
      <c r="N107" s="3" t="s">
        <v>52</v>
      </c>
    </row>
    <row r="108" spans="1:14">
      <c r="A108" s="3" t="s">
        <v>788</v>
      </c>
      <c r="B108" s="3" t="s">
        <v>789</v>
      </c>
      <c r="C108" s="3" t="s">
        <v>790</v>
      </c>
      <c r="D108" s="3" t="s">
        <v>791</v>
      </c>
      <c r="E108" s="3" t="s">
        <v>791</v>
      </c>
      <c r="F108" s="3" t="s">
        <v>792</v>
      </c>
      <c r="G108" s="3" t="s">
        <v>356</v>
      </c>
      <c r="H108" s="10" t="s">
        <v>10</v>
      </c>
      <c r="I108" s="3">
        <v>0</v>
      </c>
      <c r="J108" s="3" t="s">
        <v>357</v>
      </c>
      <c r="K108" s="3" t="s">
        <v>170</v>
      </c>
      <c r="L108" s="3">
        <v>30</v>
      </c>
      <c r="M108" s="3" t="s">
        <v>358</v>
      </c>
      <c r="N108" s="3" t="s">
        <v>52</v>
      </c>
    </row>
    <row r="109" spans="1:14" ht="28">
      <c r="A109" s="3" t="s">
        <v>793</v>
      </c>
      <c r="B109" s="3" t="s">
        <v>794</v>
      </c>
      <c r="C109" s="3" t="s">
        <v>795</v>
      </c>
      <c r="D109" s="3" t="s">
        <v>796</v>
      </c>
      <c r="E109" s="3" t="s">
        <v>796</v>
      </c>
      <c r="F109" s="3" t="s">
        <v>588</v>
      </c>
      <c r="G109" s="3" t="s">
        <v>356</v>
      </c>
      <c r="H109" s="10" t="s">
        <v>8</v>
      </c>
      <c r="I109" s="3">
        <v>1</v>
      </c>
      <c r="J109" s="3" t="s">
        <v>357</v>
      </c>
      <c r="K109" s="3" t="s">
        <v>369</v>
      </c>
      <c r="L109" s="3">
        <v>154</v>
      </c>
      <c r="M109" s="3" t="s">
        <v>358</v>
      </c>
      <c r="N109" s="3" t="s">
        <v>52</v>
      </c>
    </row>
    <row r="110" spans="1:14" ht="28">
      <c r="A110" s="3" t="s">
        <v>797</v>
      </c>
      <c r="B110" s="3" t="s">
        <v>798</v>
      </c>
      <c r="C110" s="3" t="s">
        <v>799</v>
      </c>
      <c r="D110" s="3" t="s">
        <v>800</v>
      </c>
      <c r="E110" s="3" t="s">
        <v>800</v>
      </c>
      <c r="F110" s="3" t="s">
        <v>801</v>
      </c>
      <c r="G110" s="3" t="s">
        <v>356</v>
      </c>
      <c r="H110" s="10" t="s">
        <v>6</v>
      </c>
      <c r="I110" s="3">
        <v>2</v>
      </c>
      <c r="J110" s="3" t="s">
        <v>357</v>
      </c>
      <c r="K110" s="3" t="s">
        <v>369</v>
      </c>
      <c r="L110" s="3">
        <v>55</v>
      </c>
      <c r="M110" s="3" t="s">
        <v>358</v>
      </c>
      <c r="N110" s="3" t="s">
        <v>52</v>
      </c>
    </row>
    <row r="111" spans="1:14">
      <c r="A111" s="3" t="s">
        <v>802</v>
      </c>
      <c r="B111" s="3" t="s">
        <v>118</v>
      </c>
      <c r="C111" s="3" t="s">
        <v>803</v>
      </c>
      <c r="D111" s="3" t="s">
        <v>804</v>
      </c>
      <c r="E111" s="3" t="s">
        <v>804</v>
      </c>
      <c r="F111" s="3" t="s">
        <v>805</v>
      </c>
      <c r="G111" s="3" t="s">
        <v>384</v>
      </c>
      <c r="H111" s="10" t="s">
        <v>10</v>
      </c>
      <c r="I111" s="3">
        <v>0</v>
      </c>
      <c r="J111" s="3" t="s">
        <v>169</v>
      </c>
      <c r="K111" s="3" t="s">
        <v>369</v>
      </c>
      <c r="L111" s="3">
        <v>15</v>
      </c>
      <c r="M111" s="3" t="s">
        <v>358</v>
      </c>
      <c r="N111" s="3" t="s">
        <v>52</v>
      </c>
    </row>
    <row r="112" spans="1:14">
      <c r="A112" s="3" t="s">
        <v>806</v>
      </c>
      <c r="B112" s="3" t="s">
        <v>807</v>
      </c>
      <c r="C112" s="3" t="s">
        <v>808</v>
      </c>
      <c r="D112" s="3" t="s">
        <v>809</v>
      </c>
      <c r="E112" s="3" t="s">
        <v>809</v>
      </c>
      <c r="F112" s="3" t="s">
        <v>810</v>
      </c>
      <c r="G112" s="3" t="s">
        <v>356</v>
      </c>
      <c r="H112" s="10" t="s">
        <v>10</v>
      </c>
      <c r="I112" s="3">
        <v>0</v>
      </c>
      <c r="J112" s="3" t="s">
        <v>357</v>
      </c>
      <c r="K112" s="3" t="s">
        <v>369</v>
      </c>
      <c r="L112" s="3">
        <v>144</v>
      </c>
      <c r="M112" s="3" t="s">
        <v>358</v>
      </c>
      <c r="N112" s="3" t="s">
        <v>52</v>
      </c>
    </row>
    <row r="113" spans="1:14">
      <c r="A113" s="3" t="s">
        <v>811</v>
      </c>
      <c r="B113" s="3" t="s">
        <v>812</v>
      </c>
      <c r="C113" s="3" t="s">
        <v>813</v>
      </c>
      <c r="D113" s="3" t="s">
        <v>814</v>
      </c>
      <c r="E113" s="3" t="s">
        <v>814</v>
      </c>
      <c r="F113" s="3" t="s">
        <v>815</v>
      </c>
      <c r="G113" s="3" t="s">
        <v>356</v>
      </c>
      <c r="H113" s="10" t="s">
        <v>10</v>
      </c>
      <c r="I113" s="3">
        <v>0</v>
      </c>
      <c r="J113" s="3" t="s">
        <v>357</v>
      </c>
      <c r="K113" s="3" t="s">
        <v>369</v>
      </c>
      <c r="L113" s="3">
        <v>93</v>
      </c>
      <c r="M113" s="3" t="s">
        <v>358</v>
      </c>
      <c r="N113" s="3" t="s">
        <v>52</v>
      </c>
    </row>
    <row r="114" spans="1:14" ht="28">
      <c r="A114" s="3" t="s">
        <v>816</v>
      </c>
      <c r="B114" s="3" t="s">
        <v>754</v>
      </c>
      <c r="C114" s="3" t="s">
        <v>817</v>
      </c>
      <c r="D114" s="3" t="s">
        <v>818</v>
      </c>
      <c r="E114" s="3" t="s">
        <v>818</v>
      </c>
      <c r="F114" s="3" t="s">
        <v>819</v>
      </c>
      <c r="G114" s="3" t="s">
        <v>356</v>
      </c>
      <c r="H114" s="10" t="s">
        <v>6</v>
      </c>
      <c r="I114" s="3">
        <v>2</v>
      </c>
      <c r="J114" s="3" t="s">
        <v>357</v>
      </c>
      <c r="K114" s="3" t="s">
        <v>369</v>
      </c>
      <c r="L114" s="3">
        <v>60</v>
      </c>
      <c r="M114" s="3" t="s">
        <v>358</v>
      </c>
      <c r="N114" s="3" t="s">
        <v>52</v>
      </c>
    </row>
    <row r="115" spans="1:14" ht="28">
      <c r="A115" s="3" t="s">
        <v>820</v>
      </c>
      <c r="B115" s="3" t="s">
        <v>821</v>
      </c>
      <c r="C115" s="3" t="s">
        <v>822</v>
      </c>
      <c r="D115" s="3" t="s">
        <v>823</v>
      </c>
      <c r="E115" s="3" t="s">
        <v>823</v>
      </c>
      <c r="F115" s="3" t="s">
        <v>824</v>
      </c>
      <c r="G115" s="3" t="s">
        <v>356</v>
      </c>
      <c r="H115" s="10" t="s">
        <v>10</v>
      </c>
      <c r="I115" s="3">
        <v>0</v>
      </c>
      <c r="J115" s="3" t="s">
        <v>357</v>
      </c>
      <c r="K115" s="3" t="s">
        <v>170</v>
      </c>
      <c r="L115" s="3">
        <v>29</v>
      </c>
      <c r="M115" s="3" t="s">
        <v>358</v>
      </c>
      <c r="N115" s="3" t="s">
        <v>52</v>
      </c>
    </row>
    <row r="116" spans="1:14">
      <c r="A116" s="3" t="s">
        <v>825</v>
      </c>
      <c r="B116" s="3" t="s">
        <v>798</v>
      </c>
      <c r="C116" s="3" t="s">
        <v>826</v>
      </c>
      <c r="D116" s="3" t="s">
        <v>827</v>
      </c>
      <c r="E116" s="3" t="s">
        <v>827</v>
      </c>
      <c r="F116" s="3" t="s">
        <v>828</v>
      </c>
      <c r="G116" s="3" t="s">
        <v>356</v>
      </c>
      <c r="H116" s="10" t="s">
        <v>6</v>
      </c>
      <c r="I116" s="3">
        <v>2</v>
      </c>
      <c r="J116" s="3" t="s">
        <v>357</v>
      </c>
      <c r="K116" s="3" t="s">
        <v>369</v>
      </c>
      <c r="L116" s="3">
        <v>54</v>
      </c>
      <c r="M116" s="3" t="s">
        <v>358</v>
      </c>
      <c r="N116" s="3" t="s">
        <v>52</v>
      </c>
    </row>
    <row r="117" spans="1:14" ht="28">
      <c r="A117" s="3" t="s">
        <v>829</v>
      </c>
      <c r="B117" s="3" t="s">
        <v>830</v>
      </c>
      <c r="C117" s="3" t="s">
        <v>831</v>
      </c>
      <c r="D117" s="3" t="s">
        <v>832</v>
      </c>
      <c r="E117" s="3" t="s">
        <v>832</v>
      </c>
      <c r="F117" s="3" t="s">
        <v>414</v>
      </c>
      <c r="G117" s="3" t="s">
        <v>356</v>
      </c>
      <c r="H117" s="10" t="s">
        <v>8</v>
      </c>
      <c r="I117" s="3">
        <v>1</v>
      </c>
      <c r="J117" s="3" t="s">
        <v>357</v>
      </c>
      <c r="K117" s="3" t="s">
        <v>369</v>
      </c>
      <c r="L117" s="3">
        <v>49</v>
      </c>
      <c r="M117" s="3" t="s">
        <v>358</v>
      </c>
      <c r="N117" s="3" t="s">
        <v>52</v>
      </c>
    </row>
    <row r="118" spans="1:14" ht="28">
      <c r="A118" s="3" t="s">
        <v>833</v>
      </c>
      <c r="B118" s="3" t="s">
        <v>834</v>
      </c>
      <c r="C118" s="3" t="s">
        <v>835</v>
      </c>
      <c r="D118" s="3" t="s">
        <v>836</v>
      </c>
      <c r="E118" s="3" t="s">
        <v>836</v>
      </c>
      <c r="F118" s="3" t="s">
        <v>837</v>
      </c>
      <c r="G118" s="3" t="s">
        <v>356</v>
      </c>
      <c r="H118" s="10" t="s">
        <v>10</v>
      </c>
      <c r="I118" s="3">
        <v>0</v>
      </c>
      <c r="J118" s="3" t="s">
        <v>357</v>
      </c>
      <c r="K118" s="3" t="s">
        <v>369</v>
      </c>
      <c r="L118" s="3">
        <v>82</v>
      </c>
      <c r="M118" s="3" t="s">
        <v>358</v>
      </c>
      <c r="N118" s="3" t="s">
        <v>52</v>
      </c>
    </row>
    <row r="119" spans="1:14" ht="28">
      <c r="A119" s="3" t="s">
        <v>838</v>
      </c>
      <c r="B119" s="3" t="s">
        <v>839</v>
      </c>
      <c r="C119" s="3" t="s">
        <v>840</v>
      </c>
      <c r="D119" s="3" t="s">
        <v>841</v>
      </c>
      <c r="E119" s="3" t="s">
        <v>841</v>
      </c>
      <c r="F119" s="3" t="s">
        <v>389</v>
      </c>
      <c r="G119" s="3" t="s">
        <v>356</v>
      </c>
      <c r="H119" s="10" t="s">
        <v>10</v>
      </c>
      <c r="I119" s="3">
        <v>0</v>
      </c>
      <c r="J119" s="3" t="s">
        <v>357</v>
      </c>
      <c r="K119" s="3" t="s">
        <v>369</v>
      </c>
      <c r="L119" s="3">
        <v>184</v>
      </c>
      <c r="M119" s="3" t="s">
        <v>358</v>
      </c>
      <c r="N119" s="3" t="s">
        <v>52</v>
      </c>
    </row>
    <row r="120" spans="1:14" ht="28">
      <c r="A120" s="3" t="s">
        <v>842</v>
      </c>
      <c r="B120" s="3" t="s">
        <v>843</v>
      </c>
      <c r="C120" s="3" t="s">
        <v>844</v>
      </c>
      <c r="D120" s="3" t="s">
        <v>845</v>
      </c>
      <c r="E120" s="3" t="s">
        <v>845</v>
      </c>
      <c r="F120" s="3" t="s">
        <v>846</v>
      </c>
      <c r="G120" s="3" t="s">
        <v>356</v>
      </c>
      <c r="H120" s="10" t="s">
        <v>6</v>
      </c>
      <c r="I120" s="3">
        <v>2</v>
      </c>
      <c r="J120" s="3" t="s">
        <v>357</v>
      </c>
      <c r="K120" s="3" t="s">
        <v>369</v>
      </c>
      <c r="L120" s="3">
        <v>84</v>
      </c>
      <c r="M120" s="3" t="s">
        <v>358</v>
      </c>
      <c r="N120" s="3" t="s">
        <v>52</v>
      </c>
    </row>
    <row r="121" spans="1:14" ht="28">
      <c r="A121" s="3" t="s">
        <v>847</v>
      </c>
      <c r="B121" s="3" t="s">
        <v>480</v>
      </c>
      <c r="C121" s="3" t="s">
        <v>848</v>
      </c>
      <c r="D121" s="3" t="s">
        <v>849</v>
      </c>
      <c r="E121" s="3" t="s">
        <v>849</v>
      </c>
      <c r="F121" s="3" t="s">
        <v>850</v>
      </c>
      <c r="G121" s="3" t="s">
        <v>356</v>
      </c>
      <c r="H121" s="10" t="s">
        <v>8</v>
      </c>
      <c r="I121" s="3">
        <v>1</v>
      </c>
      <c r="J121" s="3" t="s">
        <v>357</v>
      </c>
      <c r="K121" s="3" t="s">
        <v>369</v>
      </c>
      <c r="L121" s="3">
        <v>95</v>
      </c>
      <c r="M121" s="3" t="s">
        <v>358</v>
      </c>
      <c r="N121" s="3" t="s">
        <v>52</v>
      </c>
    </row>
    <row r="122" spans="1:14" ht="28">
      <c r="A122" s="3" t="s">
        <v>851</v>
      </c>
      <c r="B122" s="3" t="s">
        <v>852</v>
      </c>
      <c r="C122" s="3" t="s">
        <v>853</v>
      </c>
      <c r="D122" s="3" t="s">
        <v>854</v>
      </c>
      <c r="E122" s="3" t="s">
        <v>854</v>
      </c>
      <c r="F122" s="3" t="s">
        <v>368</v>
      </c>
      <c r="G122" s="3" t="s">
        <v>356</v>
      </c>
      <c r="H122" s="10" t="s">
        <v>6</v>
      </c>
      <c r="I122" s="3">
        <v>2</v>
      </c>
      <c r="J122" s="3" t="s">
        <v>357</v>
      </c>
      <c r="K122" s="3" t="s">
        <v>369</v>
      </c>
      <c r="L122" s="3">
        <v>21</v>
      </c>
      <c r="M122" s="3" t="s">
        <v>358</v>
      </c>
      <c r="N122" s="3" t="s">
        <v>52</v>
      </c>
    </row>
    <row r="123" spans="1:14" ht="28">
      <c r="A123" s="3" t="s">
        <v>254</v>
      </c>
      <c r="B123" s="3" t="s">
        <v>255</v>
      </c>
      <c r="C123" s="3" t="s">
        <v>855</v>
      </c>
      <c r="D123" s="3" t="s">
        <v>856</v>
      </c>
      <c r="E123" s="3" t="s">
        <v>856</v>
      </c>
      <c r="F123" s="3" t="s">
        <v>256</v>
      </c>
      <c r="G123" s="3" t="s">
        <v>384</v>
      </c>
      <c r="H123" s="10" t="s">
        <v>10</v>
      </c>
      <c r="I123" s="3">
        <v>0</v>
      </c>
      <c r="J123" s="3" t="s">
        <v>169</v>
      </c>
      <c r="K123" s="3" t="s">
        <v>170</v>
      </c>
      <c r="L123" s="3">
        <v>31</v>
      </c>
      <c r="M123" s="3" t="s">
        <v>358</v>
      </c>
      <c r="N123" s="3" t="s">
        <v>52</v>
      </c>
    </row>
    <row r="124" spans="1:14" ht="28">
      <c r="A124" s="3" t="s">
        <v>857</v>
      </c>
      <c r="B124" s="3" t="s">
        <v>858</v>
      </c>
      <c r="C124" s="3" t="s">
        <v>859</v>
      </c>
      <c r="D124" s="3" t="s">
        <v>860</v>
      </c>
      <c r="E124" s="3" t="s">
        <v>860</v>
      </c>
      <c r="F124" s="3" t="s">
        <v>414</v>
      </c>
      <c r="G124" s="3" t="s">
        <v>356</v>
      </c>
      <c r="H124" s="10" t="s">
        <v>8</v>
      </c>
      <c r="I124" s="3">
        <v>1</v>
      </c>
      <c r="J124" s="3" t="s">
        <v>357</v>
      </c>
      <c r="K124" s="3" t="s">
        <v>369</v>
      </c>
      <c r="L124" s="3">
        <v>3</v>
      </c>
      <c r="M124" s="3" t="s">
        <v>358</v>
      </c>
      <c r="N124" s="3" t="s">
        <v>52</v>
      </c>
    </row>
    <row r="125" spans="1:14">
      <c r="A125" s="3" t="s">
        <v>327</v>
      </c>
      <c r="B125" s="3" t="s">
        <v>328</v>
      </c>
      <c r="C125" s="3" t="s">
        <v>861</v>
      </c>
      <c r="D125" s="3" t="s">
        <v>862</v>
      </c>
      <c r="E125" s="3" t="s">
        <v>862</v>
      </c>
      <c r="F125" s="3" t="s">
        <v>329</v>
      </c>
      <c r="G125" s="3" t="s">
        <v>384</v>
      </c>
      <c r="H125" s="10" t="s">
        <v>10</v>
      </c>
      <c r="I125" s="3">
        <v>0</v>
      </c>
      <c r="J125" s="3" t="s">
        <v>169</v>
      </c>
      <c r="K125" s="3" t="s">
        <v>170</v>
      </c>
      <c r="L125" s="3">
        <v>56</v>
      </c>
      <c r="M125" s="3" t="s">
        <v>358</v>
      </c>
      <c r="N125" s="3" t="s">
        <v>52</v>
      </c>
    </row>
    <row r="126" spans="1:14" ht="28">
      <c r="A126" s="3" t="s">
        <v>863</v>
      </c>
      <c r="B126" s="3" t="s">
        <v>864</v>
      </c>
      <c r="C126" s="3" t="s">
        <v>865</v>
      </c>
      <c r="D126" s="3" t="s">
        <v>866</v>
      </c>
      <c r="E126" s="3" t="s">
        <v>866</v>
      </c>
      <c r="F126" s="3" t="s">
        <v>867</v>
      </c>
      <c r="G126" s="3" t="s">
        <v>356</v>
      </c>
      <c r="H126" s="10" t="s">
        <v>10</v>
      </c>
      <c r="I126" s="3">
        <v>0</v>
      </c>
      <c r="J126" s="3" t="s">
        <v>357</v>
      </c>
      <c r="K126" s="3" t="s">
        <v>369</v>
      </c>
      <c r="L126" s="3">
        <v>89</v>
      </c>
      <c r="M126" s="3" t="s">
        <v>358</v>
      </c>
      <c r="N126" s="3" t="s">
        <v>52</v>
      </c>
    </row>
    <row r="127" spans="1:14" ht="28">
      <c r="A127" s="3" t="s">
        <v>868</v>
      </c>
      <c r="B127" s="3" t="s">
        <v>435</v>
      </c>
      <c r="C127" s="3" t="s">
        <v>869</v>
      </c>
      <c r="D127" s="3" t="s">
        <v>870</v>
      </c>
      <c r="E127" s="3" t="s">
        <v>870</v>
      </c>
      <c r="F127" s="3" t="s">
        <v>871</v>
      </c>
      <c r="G127" s="3" t="s">
        <v>356</v>
      </c>
      <c r="H127" s="10" t="s">
        <v>10</v>
      </c>
      <c r="I127" s="3">
        <v>0</v>
      </c>
      <c r="J127" s="3" t="s">
        <v>357</v>
      </c>
      <c r="K127" s="3" t="s">
        <v>369</v>
      </c>
      <c r="L127" s="3">
        <v>157</v>
      </c>
      <c r="M127" s="3" t="s">
        <v>358</v>
      </c>
      <c r="N127" s="3" t="s">
        <v>52</v>
      </c>
    </row>
    <row r="128" spans="1:14">
      <c r="A128" s="3" t="s">
        <v>872</v>
      </c>
      <c r="B128" s="3" t="s">
        <v>451</v>
      </c>
      <c r="C128" s="3" t="s">
        <v>873</v>
      </c>
      <c r="D128" s="3" t="s">
        <v>874</v>
      </c>
      <c r="E128" s="3" t="s">
        <v>874</v>
      </c>
      <c r="F128" s="3" t="s">
        <v>875</v>
      </c>
      <c r="G128" s="3" t="s">
        <v>356</v>
      </c>
      <c r="H128" s="10" t="s">
        <v>8</v>
      </c>
      <c r="I128" s="3">
        <v>1</v>
      </c>
      <c r="J128" s="3" t="s">
        <v>357</v>
      </c>
      <c r="K128" s="3" t="s">
        <v>369</v>
      </c>
      <c r="L128" s="3">
        <v>111</v>
      </c>
      <c r="M128" s="3" t="s">
        <v>358</v>
      </c>
      <c r="N128" s="3" t="s">
        <v>52</v>
      </c>
    </row>
    <row r="129" spans="1:14" ht="28">
      <c r="A129" s="3" t="s">
        <v>876</v>
      </c>
      <c r="B129" s="3" t="s">
        <v>877</v>
      </c>
      <c r="C129" s="3" t="s">
        <v>878</v>
      </c>
      <c r="D129" s="3" t="s">
        <v>879</v>
      </c>
      <c r="E129" s="3" t="s">
        <v>879</v>
      </c>
      <c r="F129" s="3" t="s">
        <v>368</v>
      </c>
      <c r="G129" s="3" t="s">
        <v>356</v>
      </c>
      <c r="H129" s="10" t="s">
        <v>6</v>
      </c>
      <c r="I129" s="3">
        <v>2</v>
      </c>
      <c r="J129" s="3" t="s">
        <v>357</v>
      </c>
      <c r="K129" s="3" t="s">
        <v>369</v>
      </c>
      <c r="L129" s="3">
        <v>31</v>
      </c>
      <c r="M129" s="3" t="s">
        <v>358</v>
      </c>
      <c r="N129" s="3" t="s">
        <v>52</v>
      </c>
    </row>
    <row r="130" spans="1:14">
      <c r="A130" s="3" t="s">
        <v>880</v>
      </c>
      <c r="B130" s="3" t="s">
        <v>740</v>
      </c>
      <c r="C130" s="3" t="s">
        <v>881</v>
      </c>
      <c r="D130" s="3" t="s">
        <v>882</v>
      </c>
      <c r="E130" s="3" t="s">
        <v>882</v>
      </c>
      <c r="F130" s="3" t="s">
        <v>883</v>
      </c>
      <c r="G130" s="3" t="s">
        <v>356</v>
      </c>
      <c r="H130" s="10" t="s">
        <v>8</v>
      </c>
      <c r="I130" s="3">
        <v>1</v>
      </c>
      <c r="J130" s="3" t="s">
        <v>357</v>
      </c>
      <c r="K130" s="3" t="s">
        <v>369</v>
      </c>
      <c r="L130" s="3">
        <v>103</v>
      </c>
      <c r="M130" s="3" t="s">
        <v>358</v>
      </c>
      <c r="N130" s="3" t="s">
        <v>52</v>
      </c>
    </row>
    <row r="131" spans="1:14">
      <c r="A131" s="3" t="s">
        <v>884</v>
      </c>
      <c r="B131" s="3" t="s">
        <v>717</v>
      </c>
      <c r="C131" s="3" t="s">
        <v>885</v>
      </c>
      <c r="D131" s="3" t="s">
        <v>886</v>
      </c>
      <c r="E131" s="3" t="s">
        <v>886</v>
      </c>
      <c r="F131" s="3" t="s">
        <v>887</v>
      </c>
      <c r="G131" s="3" t="s">
        <v>384</v>
      </c>
      <c r="H131" s="10" t="s">
        <v>10</v>
      </c>
      <c r="I131" s="3">
        <v>0</v>
      </c>
      <c r="J131" s="3" t="s">
        <v>169</v>
      </c>
      <c r="K131" s="3" t="s">
        <v>369</v>
      </c>
      <c r="L131" s="3">
        <v>14</v>
      </c>
      <c r="M131" s="3" t="s">
        <v>358</v>
      </c>
      <c r="N131" s="3" t="s">
        <v>52</v>
      </c>
    </row>
    <row r="132" spans="1:14" ht="28">
      <c r="A132" s="3" t="s">
        <v>888</v>
      </c>
      <c r="B132" s="3" t="s">
        <v>889</v>
      </c>
      <c r="C132" s="3" t="s">
        <v>890</v>
      </c>
      <c r="D132" s="3" t="s">
        <v>891</v>
      </c>
      <c r="E132" s="3" t="s">
        <v>891</v>
      </c>
      <c r="F132" s="3" t="s">
        <v>729</v>
      </c>
      <c r="G132" s="3" t="s">
        <v>356</v>
      </c>
      <c r="H132" s="10" t="s">
        <v>8</v>
      </c>
      <c r="I132" s="3">
        <v>1</v>
      </c>
      <c r="J132" s="3" t="s">
        <v>357</v>
      </c>
      <c r="K132" s="3" t="s">
        <v>369</v>
      </c>
      <c r="L132" s="3">
        <v>42</v>
      </c>
      <c r="M132" s="3" t="s">
        <v>358</v>
      </c>
      <c r="N132" s="3" t="s">
        <v>52</v>
      </c>
    </row>
    <row r="133" spans="1:14" ht="28">
      <c r="A133" s="3" t="s">
        <v>892</v>
      </c>
      <c r="B133" s="3" t="s">
        <v>893</v>
      </c>
      <c r="C133" s="3" t="s">
        <v>894</v>
      </c>
      <c r="D133" s="3" t="s">
        <v>895</v>
      </c>
      <c r="E133" s="3" t="s">
        <v>895</v>
      </c>
      <c r="F133" s="3" t="s">
        <v>896</v>
      </c>
      <c r="G133" s="3" t="s">
        <v>356</v>
      </c>
      <c r="H133" s="10" t="s">
        <v>10</v>
      </c>
      <c r="I133" s="3">
        <v>0</v>
      </c>
      <c r="J133" s="3" t="s">
        <v>357</v>
      </c>
      <c r="K133" s="3" t="s">
        <v>170</v>
      </c>
      <c r="L133" s="3">
        <v>2</v>
      </c>
      <c r="M133" s="3" t="s">
        <v>358</v>
      </c>
      <c r="N133" s="3" t="s">
        <v>52</v>
      </c>
    </row>
    <row r="134" spans="1:14">
      <c r="A134" s="3" t="s">
        <v>897</v>
      </c>
      <c r="B134" s="3" t="s">
        <v>898</v>
      </c>
      <c r="C134" s="3" t="s">
        <v>899</v>
      </c>
      <c r="D134" s="3" t="s">
        <v>900</v>
      </c>
      <c r="E134" s="3" t="s">
        <v>900</v>
      </c>
      <c r="F134" s="3" t="s">
        <v>901</v>
      </c>
      <c r="G134" s="3" t="s">
        <v>384</v>
      </c>
      <c r="H134" s="10" t="s">
        <v>10</v>
      </c>
      <c r="I134" s="3">
        <v>0</v>
      </c>
      <c r="J134" s="3" t="s">
        <v>169</v>
      </c>
      <c r="K134" s="3" t="s">
        <v>369</v>
      </c>
      <c r="L134" s="3">
        <v>2</v>
      </c>
      <c r="M134" s="3" t="s">
        <v>358</v>
      </c>
      <c r="N134" s="3" t="s">
        <v>52</v>
      </c>
    </row>
    <row r="135" spans="1:14" ht="28">
      <c r="A135" s="3" t="s">
        <v>330</v>
      </c>
      <c r="B135" s="3" t="s">
        <v>331</v>
      </c>
      <c r="C135" s="3" t="s">
        <v>902</v>
      </c>
      <c r="D135" s="3" t="s">
        <v>903</v>
      </c>
      <c r="E135" s="3" t="s">
        <v>903</v>
      </c>
      <c r="F135" s="3" t="s">
        <v>332</v>
      </c>
      <c r="G135" s="3" t="s">
        <v>384</v>
      </c>
      <c r="H135" s="10" t="s">
        <v>10</v>
      </c>
      <c r="I135" s="3">
        <v>0</v>
      </c>
      <c r="J135" s="3" t="s">
        <v>169</v>
      </c>
      <c r="K135" s="3" t="s">
        <v>170</v>
      </c>
      <c r="L135" s="3">
        <v>57</v>
      </c>
      <c r="M135" s="3" t="s">
        <v>358</v>
      </c>
      <c r="N135" s="3" t="s">
        <v>52</v>
      </c>
    </row>
    <row r="136" spans="1:14" ht="28">
      <c r="A136" s="3" t="s">
        <v>904</v>
      </c>
      <c r="B136" s="3" t="s">
        <v>905</v>
      </c>
      <c r="C136" s="3" t="s">
        <v>906</v>
      </c>
      <c r="D136" s="3" t="s">
        <v>907</v>
      </c>
      <c r="E136" s="3" t="s">
        <v>907</v>
      </c>
      <c r="F136" s="3" t="s">
        <v>908</v>
      </c>
      <c r="G136" s="3" t="s">
        <v>356</v>
      </c>
      <c r="H136" s="10" t="s">
        <v>6</v>
      </c>
      <c r="I136" s="3">
        <v>2</v>
      </c>
      <c r="J136" s="3" t="s">
        <v>357</v>
      </c>
      <c r="K136" s="3" t="s">
        <v>369</v>
      </c>
      <c r="L136" s="3">
        <v>64</v>
      </c>
      <c r="M136" s="3" t="s">
        <v>358</v>
      </c>
      <c r="N136" s="3" t="s">
        <v>52</v>
      </c>
    </row>
    <row r="137" spans="1:14" ht="28">
      <c r="A137" s="3" t="s">
        <v>909</v>
      </c>
      <c r="B137" s="3" t="s">
        <v>910</v>
      </c>
      <c r="C137" s="3" t="s">
        <v>911</v>
      </c>
      <c r="D137" s="3" t="s">
        <v>912</v>
      </c>
      <c r="E137" s="3" t="s">
        <v>912</v>
      </c>
      <c r="F137" s="3" t="s">
        <v>508</v>
      </c>
      <c r="G137" s="3" t="s">
        <v>356</v>
      </c>
      <c r="H137" s="10" t="s">
        <v>6</v>
      </c>
      <c r="I137" s="3">
        <v>2</v>
      </c>
      <c r="J137" s="3" t="s">
        <v>357</v>
      </c>
      <c r="K137" s="3" t="s">
        <v>170</v>
      </c>
      <c r="L137" s="3">
        <v>42</v>
      </c>
      <c r="M137" s="3" t="s">
        <v>358</v>
      </c>
      <c r="N137" s="3" t="s">
        <v>52</v>
      </c>
    </row>
    <row r="138" spans="1:14" ht="28">
      <c r="A138" s="3" t="s">
        <v>913</v>
      </c>
      <c r="B138" s="3" t="s">
        <v>914</v>
      </c>
      <c r="C138" s="3" t="s">
        <v>915</v>
      </c>
      <c r="D138" s="3" t="s">
        <v>916</v>
      </c>
      <c r="E138" s="3" t="s">
        <v>916</v>
      </c>
      <c r="F138" s="3" t="s">
        <v>414</v>
      </c>
      <c r="G138" s="3" t="s">
        <v>356</v>
      </c>
      <c r="H138" s="10" t="s">
        <v>8</v>
      </c>
      <c r="I138" s="3">
        <v>1</v>
      </c>
      <c r="J138" s="3" t="s">
        <v>357</v>
      </c>
      <c r="K138" s="3" t="s">
        <v>369</v>
      </c>
      <c r="L138" s="3">
        <v>13</v>
      </c>
      <c r="M138" s="3" t="s">
        <v>358</v>
      </c>
      <c r="N138" s="3" t="s">
        <v>52</v>
      </c>
    </row>
    <row r="139" spans="1:14">
      <c r="A139" s="3" t="s">
        <v>917</v>
      </c>
      <c r="B139" s="3" t="s">
        <v>918</v>
      </c>
      <c r="C139" s="3" t="s">
        <v>919</v>
      </c>
      <c r="D139" s="3" t="s">
        <v>920</v>
      </c>
      <c r="E139" s="3" t="s">
        <v>920</v>
      </c>
      <c r="F139" s="3" t="s">
        <v>921</v>
      </c>
      <c r="G139" s="3" t="s">
        <v>384</v>
      </c>
      <c r="H139" s="10" t="s">
        <v>10</v>
      </c>
      <c r="I139" s="3">
        <v>0</v>
      </c>
      <c r="J139" s="3" t="s">
        <v>169</v>
      </c>
      <c r="K139" s="3" t="s">
        <v>369</v>
      </c>
      <c r="L139" s="3">
        <v>3</v>
      </c>
      <c r="M139" s="3" t="s">
        <v>358</v>
      </c>
      <c r="N139" s="3" t="s">
        <v>52</v>
      </c>
    </row>
    <row r="140" spans="1:14" ht="28">
      <c r="A140" s="3" t="s">
        <v>922</v>
      </c>
      <c r="B140" s="3" t="s">
        <v>923</v>
      </c>
      <c r="C140" s="3" t="s">
        <v>924</v>
      </c>
      <c r="D140" s="3" t="s">
        <v>925</v>
      </c>
      <c r="E140" s="3" t="s">
        <v>925</v>
      </c>
      <c r="F140" s="3" t="s">
        <v>401</v>
      </c>
      <c r="G140" s="3" t="s">
        <v>356</v>
      </c>
      <c r="H140" s="10" t="s">
        <v>10</v>
      </c>
      <c r="I140" s="3">
        <v>0</v>
      </c>
      <c r="J140" s="3" t="s">
        <v>357</v>
      </c>
      <c r="K140" s="3" t="s">
        <v>369</v>
      </c>
      <c r="L140" s="3">
        <v>199</v>
      </c>
      <c r="M140" s="3" t="s">
        <v>358</v>
      </c>
      <c r="N140" s="3" t="s">
        <v>52</v>
      </c>
    </row>
    <row r="141" spans="1:14" ht="28">
      <c r="A141" s="3" t="s">
        <v>926</v>
      </c>
      <c r="B141" s="3" t="s">
        <v>927</v>
      </c>
      <c r="C141" s="3" t="s">
        <v>928</v>
      </c>
      <c r="D141" s="3" t="s">
        <v>929</v>
      </c>
      <c r="E141" s="3" t="s">
        <v>929</v>
      </c>
      <c r="F141" s="3" t="s">
        <v>414</v>
      </c>
      <c r="G141" s="3" t="s">
        <v>356</v>
      </c>
      <c r="H141" s="10" t="s">
        <v>8</v>
      </c>
      <c r="I141" s="3">
        <v>1</v>
      </c>
      <c r="J141" s="3" t="s">
        <v>357</v>
      </c>
      <c r="K141" s="3" t="s">
        <v>369</v>
      </c>
      <c r="L141" s="3">
        <v>65</v>
      </c>
      <c r="M141" s="3" t="s">
        <v>358</v>
      </c>
      <c r="N141" s="3" t="s">
        <v>52</v>
      </c>
    </row>
    <row r="142" spans="1:14" ht="28">
      <c r="A142" s="3" t="s">
        <v>930</v>
      </c>
      <c r="B142" s="3" t="s">
        <v>672</v>
      </c>
      <c r="C142" s="3" t="s">
        <v>931</v>
      </c>
      <c r="D142" s="3" t="s">
        <v>932</v>
      </c>
      <c r="E142" s="3" t="s">
        <v>932</v>
      </c>
      <c r="F142" s="3" t="s">
        <v>933</v>
      </c>
      <c r="G142" s="3" t="s">
        <v>356</v>
      </c>
      <c r="H142" s="10" t="s">
        <v>10</v>
      </c>
      <c r="I142" s="3">
        <v>0</v>
      </c>
      <c r="J142" s="3" t="s">
        <v>357</v>
      </c>
      <c r="K142" s="3" t="s">
        <v>369</v>
      </c>
      <c r="L142" s="3">
        <v>75</v>
      </c>
      <c r="M142" s="3" t="s">
        <v>358</v>
      </c>
      <c r="N142" s="3" t="s">
        <v>52</v>
      </c>
    </row>
    <row r="143" spans="1:14" ht="28">
      <c r="A143" s="3" t="s">
        <v>934</v>
      </c>
      <c r="B143" s="3" t="s">
        <v>935</v>
      </c>
      <c r="C143" s="3" t="s">
        <v>936</v>
      </c>
      <c r="D143" s="3" t="s">
        <v>937</v>
      </c>
      <c r="E143" s="3" t="s">
        <v>937</v>
      </c>
      <c r="F143" s="3" t="s">
        <v>729</v>
      </c>
      <c r="G143" s="3" t="s">
        <v>356</v>
      </c>
      <c r="H143" s="10" t="s">
        <v>8</v>
      </c>
      <c r="I143" s="3">
        <v>1</v>
      </c>
      <c r="J143" s="3" t="s">
        <v>357</v>
      </c>
      <c r="K143" s="3" t="s">
        <v>369</v>
      </c>
      <c r="L143" s="3">
        <v>33</v>
      </c>
      <c r="M143" s="3" t="s">
        <v>358</v>
      </c>
      <c r="N143" s="3" t="s">
        <v>52</v>
      </c>
    </row>
    <row r="144" spans="1:14" ht="28">
      <c r="A144" s="3" t="s">
        <v>938</v>
      </c>
      <c r="B144" s="3" t="s">
        <v>939</v>
      </c>
      <c r="C144" s="3" t="s">
        <v>940</v>
      </c>
      <c r="D144" s="3" t="s">
        <v>941</v>
      </c>
      <c r="E144" s="3" t="s">
        <v>941</v>
      </c>
      <c r="F144" s="3" t="s">
        <v>389</v>
      </c>
      <c r="G144" s="3" t="s">
        <v>356</v>
      </c>
      <c r="H144" s="10" t="s">
        <v>10</v>
      </c>
      <c r="I144" s="3">
        <v>0</v>
      </c>
      <c r="J144" s="3" t="s">
        <v>357</v>
      </c>
      <c r="K144" s="3" t="s">
        <v>369</v>
      </c>
      <c r="L144" s="3">
        <v>190</v>
      </c>
      <c r="M144" s="3" t="s">
        <v>358</v>
      </c>
      <c r="N144" s="3" t="s">
        <v>52</v>
      </c>
    </row>
    <row r="145" spans="1:14" ht="28">
      <c r="A145" s="3" t="s">
        <v>942</v>
      </c>
      <c r="B145" s="3" t="s">
        <v>943</v>
      </c>
      <c r="C145" s="3" t="s">
        <v>944</v>
      </c>
      <c r="D145" s="3" t="s">
        <v>945</v>
      </c>
      <c r="E145" s="3" t="s">
        <v>945</v>
      </c>
      <c r="F145" s="3" t="s">
        <v>368</v>
      </c>
      <c r="G145" s="3" t="s">
        <v>356</v>
      </c>
      <c r="H145" s="10" t="s">
        <v>6</v>
      </c>
      <c r="I145" s="3">
        <v>2</v>
      </c>
      <c r="J145" s="3" t="s">
        <v>357</v>
      </c>
      <c r="K145" s="3" t="s">
        <v>369</v>
      </c>
      <c r="L145" s="3">
        <v>27</v>
      </c>
      <c r="M145" s="3" t="s">
        <v>358</v>
      </c>
      <c r="N145" s="3" t="s">
        <v>52</v>
      </c>
    </row>
    <row r="146" spans="1:14">
      <c r="A146" s="3" t="s">
        <v>227</v>
      </c>
      <c r="B146" s="3" t="s">
        <v>228</v>
      </c>
      <c r="C146" s="3" t="s">
        <v>946</v>
      </c>
      <c r="D146" s="3" t="s">
        <v>947</v>
      </c>
      <c r="E146" s="3" t="s">
        <v>947</v>
      </c>
      <c r="F146" s="3" t="s">
        <v>229</v>
      </c>
      <c r="G146" s="3" t="s">
        <v>384</v>
      </c>
      <c r="H146" s="10" t="s">
        <v>10</v>
      </c>
      <c r="I146" s="3">
        <v>0</v>
      </c>
      <c r="J146" s="3" t="s">
        <v>169</v>
      </c>
      <c r="K146" s="3" t="s">
        <v>170</v>
      </c>
      <c r="L146" s="3">
        <v>22</v>
      </c>
      <c r="M146" s="3" t="s">
        <v>358</v>
      </c>
      <c r="N146" s="3" t="s">
        <v>52</v>
      </c>
    </row>
    <row r="147" spans="1:14" ht="28">
      <c r="A147" s="3" t="s">
        <v>948</v>
      </c>
      <c r="B147" s="3" t="s">
        <v>288</v>
      </c>
      <c r="C147" s="3" t="s">
        <v>949</v>
      </c>
      <c r="D147" s="3" t="s">
        <v>950</v>
      </c>
      <c r="E147" s="3" t="s">
        <v>950</v>
      </c>
      <c r="F147" s="3" t="s">
        <v>951</v>
      </c>
      <c r="G147" s="3" t="s">
        <v>356</v>
      </c>
      <c r="H147" s="10" t="s">
        <v>10</v>
      </c>
      <c r="I147" s="3">
        <v>0</v>
      </c>
      <c r="J147" s="3" t="s">
        <v>357</v>
      </c>
      <c r="K147" s="3" t="s">
        <v>170</v>
      </c>
      <c r="L147" s="3">
        <v>40</v>
      </c>
      <c r="M147" s="3" t="s">
        <v>358</v>
      </c>
      <c r="N147" s="3" t="s">
        <v>52</v>
      </c>
    </row>
    <row r="148" spans="1:14" ht="28">
      <c r="A148" s="3" t="s">
        <v>952</v>
      </c>
      <c r="B148" s="3" t="s">
        <v>953</v>
      </c>
      <c r="C148" s="3" t="s">
        <v>954</v>
      </c>
      <c r="D148" s="3" t="s">
        <v>955</v>
      </c>
      <c r="E148" s="3" t="s">
        <v>955</v>
      </c>
      <c r="F148" s="3" t="s">
        <v>197</v>
      </c>
      <c r="G148" s="3" t="s">
        <v>356</v>
      </c>
      <c r="H148" s="10" t="s">
        <v>10</v>
      </c>
      <c r="I148" s="3">
        <v>0</v>
      </c>
      <c r="J148" s="3" t="s">
        <v>357</v>
      </c>
      <c r="K148" s="3" t="s">
        <v>170</v>
      </c>
      <c r="L148" s="3">
        <v>12</v>
      </c>
      <c r="M148" s="3" t="s">
        <v>358</v>
      </c>
      <c r="N148" s="3" t="s">
        <v>52</v>
      </c>
    </row>
    <row r="149" spans="1:14" ht="28">
      <c r="A149" s="3" t="s">
        <v>956</v>
      </c>
      <c r="B149" s="3" t="s">
        <v>957</v>
      </c>
      <c r="C149" s="3" t="s">
        <v>958</v>
      </c>
      <c r="D149" s="3" t="s">
        <v>959</v>
      </c>
      <c r="E149" s="3" t="s">
        <v>959</v>
      </c>
      <c r="F149" s="3" t="s">
        <v>960</v>
      </c>
      <c r="G149" s="3" t="s">
        <v>384</v>
      </c>
      <c r="H149" s="10" t="s">
        <v>10</v>
      </c>
      <c r="I149" s="3">
        <v>0</v>
      </c>
      <c r="J149" s="3" t="s">
        <v>169</v>
      </c>
      <c r="K149" s="3" t="s">
        <v>369</v>
      </c>
      <c r="L149" s="3">
        <v>27</v>
      </c>
      <c r="M149" s="3" t="s">
        <v>358</v>
      </c>
      <c r="N149" s="3" t="s">
        <v>52</v>
      </c>
    </row>
    <row r="150" spans="1:14" ht="28">
      <c r="A150" s="3" t="s">
        <v>961</v>
      </c>
      <c r="B150" s="3" t="s">
        <v>962</v>
      </c>
      <c r="C150" s="3" t="s">
        <v>963</v>
      </c>
      <c r="D150" s="3" t="s">
        <v>964</v>
      </c>
      <c r="E150" s="3" t="s">
        <v>964</v>
      </c>
      <c r="F150" s="3" t="s">
        <v>965</v>
      </c>
      <c r="G150" s="3" t="s">
        <v>356</v>
      </c>
      <c r="H150" s="10" t="s">
        <v>8</v>
      </c>
      <c r="I150" s="3">
        <v>1</v>
      </c>
      <c r="J150" s="3" t="s">
        <v>357</v>
      </c>
      <c r="K150" s="3" t="s">
        <v>369</v>
      </c>
      <c r="L150" s="3">
        <v>197</v>
      </c>
      <c r="M150" s="3" t="s">
        <v>358</v>
      </c>
      <c r="N150" s="3" t="s">
        <v>52</v>
      </c>
    </row>
    <row r="151" spans="1:14" ht="28">
      <c r="A151" s="3" t="s">
        <v>966</v>
      </c>
      <c r="B151" s="3" t="s">
        <v>967</v>
      </c>
      <c r="C151" s="3" t="s">
        <v>968</v>
      </c>
      <c r="D151" s="3" t="s">
        <v>969</v>
      </c>
      <c r="E151" s="3" t="s">
        <v>969</v>
      </c>
      <c r="F151" s="3" t="s">
        <v>970</v>
      </c>
      <c r="G151" s="3" t="s">
        <v>356</v>
      </c>
      <c r="H151" s="10" t="s">
        <v>10</v>
      </c>
      <c r="I151" s="3">
        <v>0</v>
      </c>
      <c r="J151" s="3" t="s">
        <v>357</v>
      </c>
      <c r="K151" s="3" t="s">
        <v>369</v>
      </c>
      <c r="L151" s="3">
        <v>99</v>
      </c>
      <c r="M151" s="3" t="s">
        <v>358</v>
      </c>
      <c r="N151" s="3" t="s">
        <v>52</v>
      </c>
    </row>
    <row r="152" spans="1:14" ht="28">
      <c r="A152" s="3" t="s">
        <v>971</v>
      </c>
      <c r="B152" s="3" t="s">
        <v>972</v>
      </c>
      <c r="C152" s="3" t="s">
        <v>973</v>
      </c>
      <c r="D152" s="3" t="s">
        <v>974</v>
      </c>
      <c r="E152" s="3" t="s">
        <v>974</v>
      </c>
      <c r="F152" s="3" t="s">
        <v>197</v>
      </c>
      <c r="G152" s="3" t="s">
        <v>356</v>
      </c>
      <c r="H152" s="10" t="s">
        <v>10</v>
      </c>
      <c r="I152" s="3">
        <v>0</v>
      </c>
      <c r="J152" s="3" t="s">
        <v>357</v>
      </c>
      <c r="K152" s="3" t="s">
        <v>170</v>
      </c>
      <c r="L152" s="3">
        <v>8</v>
      </c>
      <c r="M152" s="3" t="s">
        <v>358</v>
      </c>
      <c r="N152" s="3" t="s">
        <v>52</v>
      </c>
    </row>
    <row r="153" spans="1:14" ht="28">
      <c r="A153" s="3" t="s">
        <v>975</v>
      </c>
      <c r="B153" s="3" t="s">
        <v>976</v>
      </c>
      <c r="C153" s="3" t="s">
        <v>977</v>
      </c>
      <c r="D153" s="3" t="s">
        <v>978</v>
      </c>
      <c r="E153" s="3" t="s">
        <v>978</v>
      </c>
      <c r="F153" s="3" t="s">
        <v>588</v>
      </c>
      <c r="G153" s="3" t="s">
        <v>356</v>
      </c>
      <c r="H153" s="10" t="s">
        <v>8</v>
      </c>
      <c r="I153" s="3">
        <v>1</v>
      </c>
      <c r="J153" s="3" t="s">
        <v>357</v>
      </c>
      <c r="K153" s="3" t="s">
        <v>369</v>
      </c>
      <c r="L153" s="3">
        <v>30</v>
      </c>
      <c r="M153" s="3" t="s">
        <v>358</v>
      </c>
      <c r="N153" s="3" t="s">
        <v>52</v>
      </c>
    </row>
    <row r="154" spans="1:14" ht="28">
      <c r="A154" s="3" t="s">
        <v>979</v>
      </c>
      <c r="B154" s="3" t="s">
        <v>980</v>
      </c>
      <c r="C154" s="3" t="s">
        <v>981</v>
      </c>
      <c r="D154" s="3" t="s">
        <v>982</v>
      </c>
      <c r="E154" s="3" t="s">
        <v>982</v>
      </c>
      <c r="F154" s="3" t="s">
        <v>965</v>
      </c>
      <c r="G154" s="3" t="s">
        <v>356</v>
      </c>
      <c r="H154" s="10" t="s">
        <v>8</v>
      </c>
      <c r="I154" s="3">
        <v>1</v>
      </c>
      <c r="J154" s="3" t="s">
        <v>357</v>
      </c>
      <c r="K154" s="3" t="s">
        <v>369</v>
      </c>
      <c r="L154" s="3">
        <v>127</v>
      </c>
      <c r="M154" s="3" t="s">
        <v>358</v>
      </c>
      <c r="N154" s="3" t="s">
        <v>52</v>
      </c>
    </row>
    <row r="155" spans="1:14">
      <c r="A155" s="3" t="s">
        <v>983</v>
      </c>
      <c r="B155" s="3" t="s">
        <v>984</v>
      </c>
      <c r="C155" s="3" t="s">
        <v>985</v>
      </c>
      <c r="D155" s="3" t="s">
        <v>986</v>
      </c>
      <c r="E155" s="3" t="s">
        <v>986</v>
      </c>
      <c r="F155" s="3" t="s">
        <v>987</v>
      </c>
      <c r="G155" s="3" t="s">
        <v>384</v>
      </c>
      <c r="H155" s="10" t="s">
        <v>10</v>
      </c>
      <c r="I155" s="3">
        <v>0</v>
      </c>
      <c r="J155" s="3" t="s">
        <v>169</v>
      </c>
      <c r="K155" s="3" t="s">
        <v>369</v>
      </c>
      <c r="L155" s="3">
        <v>9</v>
      </c>
      <c r="M155" s="3" t="s">
        <v>358</v>
      </c>
      <c r="N155" s="3" t="s">
        <v>52</v>
      </c>
    </row>
    <row r="156" spans="1:14" ht="28">
      <c r="A156" s="3" t="s">
        <v>988</v>
      </c>
      <c r="B156" s="3" t="s">
        <v>989</v>
      </c>
      <c r="C156" s="3" t="s">
        <v>990</v>
      </c>
      <c r="D156" s="3" t="s">
        <v>991</v>
      </c>
      <c r="E156" s="3" t="s">
        <v>991</v>
      </c>
      <c r="F156" s="3" t="s">
        <v>992</v>
      </c>
      <c r="G156" s="3" t="s">
        <v>356</v>
      </c>
      <c r="H156" s="10" t="s">
        <v>10</v>
      </c>
      <c r="I156" s="3">
        <v>0</v>
      </c>
      <c r="J156" s="3" t="s">
        <v>357</v>
      </c>
      <c r="K156" s="3" t="s">
        <v>170</v>
      </c>
      <c r="L156" s="3">
        <v>34</v>
      </c>
      <c r="M156" s="3" t="s">
        <v>358</v>
      </c>
      <c r="N156" s="3" t="s">
        <v>52</v>
      </c>
    </row>
    <row r="157" spans="1:14" ht="28">
      <c r="A157" s="3" t="s">
        <v>993</v>
      </c>
      <c r="B157" s="3" t="s">
        <v>994</v>
      </c>
      <c r="C157" s="3" t="s">
        <v>995</v>
      </c>
      <c r="D157" s="3" t="s">
        <v>996</v>
      </c>
      <c r="E157" s="3" t="s">
        <v>996</v>
      </c>
      <c r="F157" s="3" t="s">
        <v>389</v>
      </c>
      <c r="G157" s="3" t="s">
        <v>356</v>
      </c>
      <c r="H157" s="10" t="s">
        <v>10</v>
      </c>
      <c r="I157" s="3">
        <v>0</v>
      </c>
      <c r="J157" s="3" t="s">
        <v>357</v>
      </c>
      <c r="K157" s="3" t="s">
        <v>369</v>
      </c>
      <c r="L157" s="3">
        <v>92</v>
      </c>
      <c r="M157" s="3" t="s">
        <v>358</v>
      </c>
      <c r="N157" s="3" t="s">
        <v>52</v>
      </c>
    </row>
    <row r="158" spans="1:14">
      <c r="A158" s="3" t="s">
        <v>997</v>
      </c>
      <c r="B158" s="3" t="s">
        <v>998</v>
      </c>
      <c r="C158" s="3" t="s">
        <v>999</v>
      </c>
      <c r="D158" s="3" t="s">
        <v>1000</v>
      </c>
      <c r="E158" s="3" t="s">
        <v>1000</v>
      </c>
      <c r="F158" s="3" t="s">
        <v>734</v>
      </c>
      <c r="G158" s="3" t="s">
        <v>356</v>
      </c>
      <c r="H158" s="10" t="s">
        <v>10</v>
      </c>
      <c r="I158" s="3">
        <v>0</v>
      </c>
      <c r="J158" s="3" t="s">
        <v>357</v>
      </c>
      <c r="K158" s="3" t="s">
        <v>369</v>
      </c>
      <c r="L158" s="3">
        <v>176</v>
      </c>
      <c r="M158" s="3" t="s">
        <v>358</v>
      </c>
      <c r="N158" s="3" t="s">
        <v>52</v>
      </c>
    </row>
    <row r="159" spans="1:14" ht="28">
      <c r="A159" s="3" t="s">
        <v>1001</v>
      </c>
      <c r="B159" s="3" t="s">
        <v>1002</v>
      </c>
      <c r="C159" s="3" t="s">
        <v>1003</v>
      </c>
      <c r="D159" s="3" t="s">
        <v>1004</v>
      </c>
      <c r="E159" s="3" t="s">
        <v>1004</v>
      </c>
      <c r="F159" s="3" t="s">
        <v>414</v>
      </c>
      <c r="G159" s="3" t="s">
        <v>356</v>
      </c>
      <c r="H159" s="10" t="s">
        <v>8</v>
      </c>
      <c r="I159" s="3">
        <v>1</v>
      </c>
      <c r="J159" s="3" t="s">
        <v>357</v>
      </c>
      <c r="K159" s="3" t="s">
        <v>369</v>
      </c>
      <c r="L159" s="3">
        <v>7</v>
      </c>
      <c r="M159" s="3" t="s">
        <v>358</v>
      </c>
      <c r="N159" s="3" t="s">
        <v>52</v>
      </c>
    </row>
    <row r="160" spans="1:14" ht="28">
      <c r="A160" s="3" t="s">
        <v>1005</v>
      </c>
      <c r="B160" s="3" t="s">
        <v>552</v>
      </c>
      <c r="C160" s="3" t="s">
        <v>1006</v>
      </c>
      <c r="D160" s="3" t="s">
        <v>1007</v>
      </c>
      <c r="E160" s="3" t="s">
        <v>1007</v>
      </c>
      <c r="F160" s="3" t="s">
        <v>1008</v>
      </c>
      <c r="G160" s="3" t="s">
        <v>356</v>
      </c>
      <c r="H160" s="10" t="s">
        <v>10</v>
      </c>
      <c r="I160" s="3">
        <v>0</v>
      </c>
      <c r="J160" s="3" t="s">
        <v>357</v>
      </c>
      <c r="K160" s="3" t="s">
        <v>170</v>
      </c>
      <c r="L160" s="3">
        <v>16</v>
      </c>
      <c r="M160" s="3" t="s">
        <v>358</v>
      </c>
      <c r="N160" s="3" t="s">
        <v>52</v>
      </c>
    </row>
    <row r="161" spans="1:14" ht="28">
      <c r="A161" s="3" t="s">
        <v>1009</v>
      </c>
      <c r="B161" s="3" t="s">
        <v>570</v>
      </c>
      <c r="C161" s="3" t="s">
        <v>1010</v>
      </c>
      <c r="D161" s="3" t="s">
        <v>1011</v>
      </c>
      <c r="E161" s="3" t="s">
        <v>1011</v>
      </c>
      <c r="F161" s="3" t="s">
        <v>1012</v>
      </c>
      <c r="G161" s="3" t="s">
        <v>356</v>
      </c>
      <c r="H161" s="10" t="s">
        <v>10</v>
      </c>
      <c r="I161" s="3">
        <v>0</v>
      </c>
      <c r="J161" s="3" t="s">
        <v>357</v>
      </c>
      <c r="K161" s="3" t="s">
        <v>369</v>
      </c>
      <c r="L161" s="3">
        <v>101</v>
      </c>
      <c r="M161" s="3" t="s">
        <v>358</v>
      </c>
      <c r="N161" s="3" t="s">
        <v>52</v>
      </c>
    </row>
    <row r="162" spans="1:14" ht="28">
      <c r="A162" s="3" t="s">
        <v>260</v>
      </c>
      <c r="B162" s="3" t="s">
        <v>261</v>
      </c>
      <c r="C162" s="3" t="s">
        <v>1013</v>
      </c>
      <c r="D162" s="3" t="s">
        <v>1014</v>
      </c>
      <c r="E162" s="3" t="s">
        <v>1014</v>
      </c>
      <c r="F162" s="3" t="s">
        <v>262</v>
      </c>
      <c r="G162" s="3" t="s">
        <v>384</v>
      </c>
      <c r="H162" s="10" t="s">
        <v>10</v>
      </c>
      <c r="I162" s="3">
        <v>0</v>
      </c>
      <c r="J162" s="3" t="s">
        <v>169</v>
      </c>
      <c r="K162" s="3" t="s">
        <v>170</v>
      </c>
      <c r="L162" s="3">
        <v>33</v>
      </c>
      <c r="M162" s="3" t="s">
        <v>358</v>
      </c>
      <c r="N162" s="3" t="s">
        <v>52</v>
      </c>
    </row>
    <row r="163" spans="1:14">
      <c r="A163" s="3" t="s">
        <v>295</v>
      </c>
      <c r="B163" s="3" t="s">
        <v>296</v>
      </c>
      <c r="C163" s="3" t="s">
        <v>1015</v>
      </c>
      <c r="D163" s="3" t="s">
        <v>1016</v>
      </c>
      <c r="E163" s="3" t="s">
        <v>1016</v>
      </c>
      <c r="F163" s="3" t="s">
        <v>297</v>
      </c>
      <c r="G163" s="3" t="s">
        <v>384</v>
      </c>
      <c r="H163" s="10" t="s">
        <v>10</v>
      </c>
      <c r="I163" s="3">
        <v>0</v>
      </c>
      <c r="J163" s="3" t="s">
        <v>169</v>
      </c>
      <c r="K163" s="3" t="s">
        <v>170</v>
      </c>
      <c r="L163" s="3">
        <v>45</v>
      </c>
      <c r="M163" s="3" t="s">
        <v>358</v>
      </c>
      <c r="N163" s="3" t="s">
        <v>52</v>
      </c>
    </row>
    <row r="164" spans="1:14">
      <c r="A164" s="3" t="s">
        <v>1017</v>
      </c>
      <c r="B164" s="3" t="s">
        <v>1018</v>
      </c>
      <c r="C164" s="3" t="s">
        <v>1019</v>
      </c>
      <c r="D164" s="3" t="s">
        <v>1020</v>
      </c>
      <c r="E164" s="3" t="s">
        <v>1020</v>
      </c>
      <c r="F164" s="3" t="s">
        <v>1021</v>
      </c>
      <c r="G164" s="3" t="s">
        <v>356</v>
      </c>
      <c r="H164" s="10" t="s">
        <v>6</v>
      </c>
      <c r="I164" s="3">
        <v>2</v>
      </c>
      <c r="J164" s="3" t="s">
        <v>357</v>
      </c>
      <c r="K164" s="3" t="s">
        <v>369</v>
      </c>
      <c r="L164" s="3">
        <v>45</v>
      </c>
      <c r="M164" s="3" t="s">
        <v>358</v>
      </c>
      <c r="N164" s="3" t="s">
        <v>52</v>
      </c>
    </row>
    <row r="165" spans="1:14">
      <c r="A165" s="3" t="s">
        <v>1022</v>
      </c>
      <c r="B165" s="3" t="s">
        <v>1023</v>
      </c>
      <c r="C165" s="3" t="s">
        <v>1024</v>
      </c>
      <c r="D165" s="3" t="s">
        <v>1025</v>
      </c>
      <c r="E165" s="3" t="s">
        <v>1025</v>
      </c>
      <c r="F165" s="3" t="s">
        <v>734</v>
      </c>
      <c r="G165" s="3" t="s">
        <v>356</v>
      </c>
      <c r="H165" s="10" t="s">
        <v>10</v>
      </c>
      <c r="I165" s="3">
        <v>0</v>
      </c>
      <c r="J165" s="3" t="s">
        <v>357</v>
      </c>
      <c r="K165" s="3" t="s">
        <v>369</v>
      </c>
      <c r="L165" s="3">
        <v>72</v>
      </c>
      <c r="M165" s="3" t="s">
        <v>358</v>
      </c>
      <c r="N165" s="3" t="s">
        <v>52</v>
      </c>
    </row>
    <row r="166" spans="1:14" ht="28">
      <c r="A166" s="3" t="s">
        <v>192</v>
      </c>
      <c r="B166" s="3" t="s">
        <v>193</v>
      </c>
      <c r="C166" s="3" t="s">
        <v>1026</v>
      </c>
      <c r="D166" s="3" t="s">
        <v>1027</v>
      </c>
      <c r="E166" s="3" t="s">
        <v>1027</v>
      </c>
      <c r="F166" s="3" t="s">
        <v>194</v>
      </c>
      <c r="G166" s="3" t="s">
        <v>384</v>
      </c>
      <c r="H166" s="10" t="s">
        <v>10</v>
      </c>
      <c r="I166" s="3">
        <v>0</v>
      </c>
      <c r="J166" s="3" t="s">
        <v>169</v>
      </c>
      <c r="K166" s="3" t="s">
        <v>170</v>
      </c>
      <c r="L166" s="3">
        <v>10</v>
      </c>
      <c r="M166" s="3" t="s">
        <v>358</v>
      </c>
      <c r="N166" s="3" t="s">
        <v>52</v>
      </c>
    </row>
    <row r="167" spans="1:14" ht="28">
      <c r="A167" s="3" t="s">
        <v>1028</v>
      </c>
      <c r="B167" s="3" t="s">
        <v>1029</v>
      </c>
      <c r="C167" s="3" t="s">
        <v>1030</v>
      </c>
      <c r="D167" s="3" t="s">
        <v>1031</v>
      </c>
      <c r="E167" s="3" t="s">
        <v>1031</v>
      </c>
      <c r="F167" s="3" t="s">
        <v>588</v>
      </c>
      <c r="G167" s="3" t="s">
        <v>356</v>
      </c>
      <c r="H167" s="10" t="s">
        <v>8</v>
      </c>
      <c r="I167" s="3">
        <v>1</v>
      </c>
      <c r="J167" s="3" t="s">
        <v>357</v>
      </c>
      <c r="K167" s="3" t="s">
        <v>369</v>
      </c>
      <c r="L167" s="3">
        <v>29</v>
      </c>
      <c r="M167" s="3" t="s">
        <v>358</v>
      </c>
      <c r="N167" s="3" t="s">
        <v>52</v>
      </c>
    </row>
    <row r="168" spans="1:14" ht="28">
      <c r="A168" s="3" t="s">
        <v>1032</v>
      </c>
      <c r="B168" s="3" t="s">
        <v>1033</v>
      </c>
      <c r="C168" s="3" t="s">
        <v>1034</v>
      </c>
      <c r="D168" s="3" t="s">
        <v>1035</v>
      </c>
      <c r="E168" s="3" t="s">
        <v>1035</v>
      </c>
      <c r="F168" s="3" t="s">
        <v>1036</v>
      </c>
      <c r="G168" s="3" t="s">
        <v>356</v>
      </c>
      <c r="H168" s="10" t="s">
        <v>10</v>
      </c>
      <c r="I168" s="3">
        <v>0</v>
      </c>
      <c r="J168" s="3" t="s">
        <v>357</v>
      </c>
      <c r="K168" s="3" t="s">
        <v>170</v>
      </c>
      <c r="L168" s="3">
        <v>25</v>
      </c>
      <c r="M168" s="3" t="s">
        <v>358</v>
      </c>
      <c r="N168" s="3" t="s">
        <v>52</v>
      </c>
    </row>
    <row r="169" spans="1:14" ht="28">
      <c r="A169" s="3" t="s">
        <v>278</v>
      </c>
      <c r="B169" s="3" t="s">
        <v>279</v>
      </c>
      <c r="C169" s="3" t="s">
        <v>1037</v>
      </c>
      <c r="D169" s="3" t="s">
        <v>1038</v>
      </c>
      <c r="E169" s="3" t="s">
        <v>1038</v>
      </c>
      <c r="F169" s="3" t="s">
        <v>280</v>
      </c>
      <c r="G169" s="3" t="s">
        <v>384</v>
      </c>
      <c r="H169" s="10" t="s">
        <v>10</v>
      </c>
      <c r="I169" s="3">
        <v>0</v>
      </c>
      <c r="J169" s="3" t="s">
        <v>169</v>
      </c>
      <c r="K169" s="3" t="s">
        <v>170</v>
      </c>
      <c r="L169" s="3">
        <v>39</v>
      </c>
      <c r="M169" s="3" t="s">
        <v>358</v>
      </c>
      <c r="N169" s="3" t="s">
        <v>52</v>
      </c>
    </row>
    <row r="170" spans="1:14" ht="28">
      <c r="A170" s="3" t="s">
        <v>1039</v>
      </c>
      <c r="B170" s="3" t="s">
        <v>1040</v>
      </c>
      <c r="C170" s="3" t="s">
        <v>1041</v>
      </c>
      <c r="D170" s="3" t="s">
        <v>1042</v>
      </c>
      <c r="E170" s="3" t="s">
        <v>1042</v>
      </c>
      <c r="F170" s="3" t="s">
        <v>1043</v>
      </c>
      <c r="G170" s="3" t="s">
        <v>356</v>
      </c>
      <c r="H170" s="10" t="s">
        <v>10</v>
      </c>
      <c r="I170" s="3">
        <v>0</v>
      </c>
      <c r="J170" s="3" t="s">
        <v>357</v>
      </c>
      <c r="K170" s="3" t="s">
        <v>170</v>
      </c>
      <c r="L170" s="3">
        <v>50</v>
      </c>
      <c r="M170" s="3" t="s">
        <v>358</v>
      </c>
      <c r="N170" s="3" t="s">
        <v>52</v>
      </c>
    </row>
    <row r="171" spans="1:14" ht="28">
      <c r="A171" s="3" t="s">
        <v>1044</v>
      </c>
      <c r="B171" s="3" t="s">
        <v>1045</v>
      </c>
      <c r="C171" s="3" t="s">
        <v>1046</v>
      </c>
      <c r="D171" s="3" t="s">
        <v>1047</v>
      </c>
      <c r="E171" s="3" t="s">
        <v>1047</v>
      </c>
      <c r="F171" s="3" t="s">
        <v>1048</v>
      </c>
      <c r="G171" s="3" t="s">
        <v>356</v>
      </c>
      <c r="H171" s="10" t="s">
        <v>6</v>
      </c>
      <c r="I171" s="3">
        <v>2</v>
      </c>
      <c r="J171" s="3" t="s">
        <v>357</v>
      </c>
      <c r="K171" s="3" t="s">
        <v>369</v>
      </c>
      <c r="L171" s="3">
        <v>69</v>
      </c>
      <c r="M171" s="3" t="s">
        <v>358</v>
      </c>
      <c r="N171" s="3" t="s">
        <v>52</v>
      </c>
    </row>
    <row r="172" spans="1:14" ht="28">
      <c r="A172" s="3" t="s">
        <v>293</v>
      </c>
      <c r="B172" s="3" t="s">
        <v>294</v>
      </c>
      <c r="C172" s="3" t="s">
        <v>1049</v>
      </c>
      <c r="D172" s="3" t="s">
        <v>1050</v>
      </c>
      <c r="E172" s="3" t="s">
        <v>1050</v>
      </c>
      <c r="F172" s="3" t="s">
        <v>214</v>
      </c>
      <c r="G172" s="3" t="s">
        <v>384</v>
      </c>
      <c r="H172" s="10" t="s">
        <v>10</v>
      </c>
      <c r="I172" s="3">
        <v>0</v>
      </c>
      <c r="J172" s="3" t="s">
        <v>169</v>
      </c>
      <c r="K172" s="3" t="s">
        <v>170</v>
      </c>
      <c r="L172" s="3">
        <v>44</v>
      </c>
      <c r="M172" s="3" t="s">
        <v>358</v>
      </c>
      <c r="N172" s="3" t="s">
        <v>52</v>
      </c>
    </row>
    <row r="173" spans="1:14" ht="28">
      <c r="A173" s="3" t="s">
        <v>1051</v>
      </c>
      <c r="B173" s="3" t="s">
        <v>731</v>
      </c>
      <c r="C173" s="3" t="s">
        <v>1052</v>
      </c>
      <c r="D173" s="3" t="s">
        <v>1053</v>
      </c>
      <c r="E173" s="3" t="s">
        <v>1053</v>
      </c>
      <c r="F173" s="3" t="s">
        <v>389</v>
      </c>
      <c r="G173" s="3" t="s">
        <v>356</v>
      </c>
      <c r="H173" s="10" t="s">
        <v>10</v>
      </c>
      <c r="I173" s="3">
        <v>0</v>
      </c>
      <c r="J173" s="3" t="s">
        <v>357</v>
      </c>
      <c r="K173" s="3" t="s">
        <v>369</v>
      </c>
      <c r="L173" s="3">
        <v>88</v>
      </c>
      <c r="M173" s="3" t="s">
        <v>358</v>
      </c>
      <c r="N173" s="3" t="s">
        <v>52</v>
      </c>
    </row>
    <row r="174" spans="1:14" ht="28">
      <c r="A174" s="3" t="s">
        <v>1054</v>
      </c>
      <c r="B174" s="3" t="s">
        <v>1055</v>
      </c>
      <c r="C174" s="3" t="s">
        <v>1056</v>
      </c>
      <c r="D174" s="3" t="s">
        <v>1057</v>
      </c>
      <c r="E174" s="3" t="s">
        <v>1057</v>
      </c>
      <c r="F174" s="3" t="s">
        <v>1058</v>
      </c>
      <c r="G174" s="3" t="s">
        <v>356</v>
      </c>
      <c r="H174" s="10" t="s">
        <v>6</v>
      </c>
      <c r="I174" s="3">
        <v>2</v>
      </c>
      <c r="J174" s="3" t="s">
        <v>357</v>
      </c>
      <c r="K174" s="3" t="s">
        <v>369</v>
      </c>
      <c r="L174" s="3">
        <v>90</v>
      </c>
      <c r="M174" s="3" t="s">
        <v>358</v>
      </c>
      <c r="N174" s="3" t="s">
        <v>52</v>
      </c>
    </row>
    <row r="175" spans="1:14" ht="28">
      <c r="A175" s="3" t="s">
        <v>242</v>
      </c>
      <c r="B175" s="3" t="s">
        <v>243</v>
      </c>
      <c r="C175" s="3" t="s">
        <v>1059</v>
      </c>
      <c r="D175" s="3" t="s">
        <v>1060</v>
      </c>
      <c r="E175" s="3" t="s">
        <v>1060</v>
      </c>
      <c r="F175" s="3" t="s">
        <v>244</v>
      </c>
      <c r="G175" s="3" t="s">
        <v>384</v>
      </c>
      <c r="H175" s="10" t="s">
        <v>10</v>
      </c>
      <c r="I175" s="3">
        <v>0</v>
      </c>
      <c r="J175" s="3" t="s">
        <v>169</v>
      </c>
      <c r="K175" s="3" t="s">
        <v>170</v>
      </c>
      <c r="L175" s="3">
        <v>27</v>
      </c>
      <c r="M175" s="3" t="s">
        <v>358</v>
      </c>
      <c r="N175" s="3" t="s">
        <v>52</v>
      </c>
    </row>
    <row r="176" spans="1:14" ht="28">
      <c r="A176" s="3" t="s">
        <v>1061</v>
      </c>
      <c r="B176" s="3" t="s">
        <v>451</v>
      </c>
      <c r="C176" s="3" t="s">
        <v>1062</v>
      </c>
      <c r="D176" s="3" t="s">
        <v>1063</v>
      </c>
      <c r="E176" s="3" t="s">
        <v>1063</v>
      </c>
      <c r="F176" s="3" t="s">
        <v>1064</v>
      </c>
      <c r="G176" s="3" t="s">
        <v>356</v>
      </c>
      <c r="H176" s="10" t="s">
        <v>6</v>
      </c>
      <c r="I176" s="3">
        <v>2</v>
      </c>
      <c r="J176" s="3" t="s">
        <v>357</v>
      </c>
      <c r="K176" s="3" t="s">
        <v>369</v>
      </c>
      <c r="L176" s="3">
        <v>115</v>
      </c>
      <c r="M176" s="3" t="s">
        <v>358</v>
      </c>
      <c r="N176" s="3" t="s">
        <v>52</v>
      </c>
    </row>
    <row r="177" spans="1:14" ht="28">
      <c r="A177" s="3" t="s">
        <v>1065</v>
      </c>
      <c r="B177" s="3" t="s">
        <v>1066</v>
      </c>
      <c r="C177" s="3" t="s">
        <v>1067</v>
      </c>
      <c r="D177" s="3" t="s">
        <v>1068</v>
      </c>
      <c r="E177" s="3" t="s">
        <v>1068</v>
      </c>
      <c r="F177" s="3" t="s">
        <v>1069</v>
      </c>
      <c r="G177" s="3" t="s">
        <v>356</v>
      </c>
      <c r="H177" s="10" t="s">
        <v>10</v>
      </c>
      <c r="I177" s="3">
        <v>0</v>
      </c>
      <c r="J177" s="3" t="s">
        <v>357</v>
      </c>
      <c r="K177" s="3" t="s">
        <v>170</v>
      </c>
      <c r="L177" s="3">
        <v>23</v>
      </c>
      <c r="M177" s="3" t="s">
        <v>358</v>
      </c>
      <c r="N177" s="3" t="s">
        <v>52</v>
      </c>
    </row>
    <row r="178" spans="1:14" ht="28">
      <c r="A178" s="3" t="s">
        <v>1070</v>
      </c>
      <c r="B178" s="3" t="s">
        <v>1071</v>
      </c>
      <c r="C178" s="3" t="s">
        <v>1072</v>
      </c>
      <c r="D178" s="3" t="s">
        <v>1073</v>
      </c>
      <c r="E178" s="3" t="s">
        <v>1073</v>
      </c>
      <c r="F178" s="3" t="s">
        <v>588</v>
      </c>
      <c r="G178" s="3" t="s">
        <v>356</v>
      </c>
      <c r="H178" s="10" t="s">
        <v>8</v>
      </c>
      <c r="I178" s="3">
        <v>1</v>
      </c>
      <c r="J178" s="3" t="s">
        <v>357</v>
      </c>
      <c r="K178" s="3" t="s">
        <v>369</v>
      </c>
      <c r="L178" s="3">
        <v>25</v>
      </c>
      <c r="M178" s="3" t="s">
        <v>358</v>
      </c>
      <c r="N178" s="3" t="s">
        <v>52</v>
      </c>
    </row>
    <row r="179" spans="1:14" ht="28">
      <c r="A179" s="3" t="s">
        <v>1074</v>
      </c>
      <c r="B179" s="3" t="s">
        <v>1075</v>
      </c>
      <c r="C179" s="3" t="s">
        <v>1076</v>
      </c>
      <c r="D179" s="3" t="s">
        <v>1077</v>
      </c>
      <c r="E179" s="3" t="s">
        <v>1077</v>
      </c>
      <c r="F179" s="3" t="s">
        <v>1078</v>
      </c>
      <c r="G179" s="3" t="s">
        <v>356</v>
      </c>
      <c r="H179" s="10" t="s">
        <v>10</v>
      </c>
      <c r="I179" s="3">
        <v>0</v>
      </c>
      <c r="J179" s="3" t="s">
        <v>357</v>
      </c>
      <c r="K179" s="3" t="s">
        <v>170</v>
      </c>
      <c r="L179" s="3">
        <v>47</v>
      </c>
      <c r="M179" s="3" t="s">
        <v>358</v>
      </c>
      <c r="N179" s="3" t="s">
        <v>52</v>
      </c>
    </row>
    <row r="180" spans="1:14" ht="28">
      <c r="A180" s="3" t="s">
        <v>1079</v>
      </c>
      <c r="B180" s="3" t="s">
        <v>1080</v>
      </c>
      <c r="C180" s="3" t="s">
        <v>1081</v>
      </c>
      <c r="D180" s="3" t="s">
        <v>1082</v>
      </c>
      <c r="E180" s="3" t="s">
        <v>1082</v>
      </c>
      <c r="F180" s="3" t="s">
        <v>1083</v>
      </c>
      <c r="G180" s="3" t="s">
        <v>356</v>
      </c>
      <c r="H180" s="10" t="s">
        <v>10</v>
      </c>
      <c r="I180" s="3">
        <v>0</v>
      </c>
      <c r="J180" s="3" t="s">
        <v>357</v>
      </c>
      <c r="K180" s="3" t="s">
        <v>369</v>
      </c>
      <c r="L180" s="3">
        <v>167</v>
      </c>
      <c r="M180" s="3" t="s">
        <v>358</v>
      </c>
      <c r="N180" s="3" t="s">
        <v>52</v>
      </c>
    </row>
    <row r="181" spans="1:14">
      <c r="A181" s="3" t="s">
        <v>1084</v>
      </c>
      <c r="B181" s="3" t="s">
        <v>1085</v>
      </c>
      <c r="C181" s="3" t="s">
        <v>1086</v>
      </c>
      <c r="D181" s="3" t="s">
        <v>1087</v>
      </c>
      <c r="E181" s="3" t="s">
        <v>1087</v>
      </c>
      <c r="F181" s="3" t="s">
        <v>90</v>
      </c>
      <c r="G181" s="3" t="s">
        <v>356</v>
      </c>
      <c r="H181" s="10" t="s">
        <v>6</v>
      </c>
      <c r="I181" s="3">
        <v>2</v>
      </c>
      <c r="J181" s="3" t="s">
        <v>357</v>
      </c>
      <c r="K181" s="3" t="s">
        <v>369</v>
      </c>
      <c r="L181" s="3">
        <v>23</v>
      </c>
      <c r="M181" s="3" t="s">
        <v>358</v>
      </c>
      <c r="N181" s="3" t="s">
        <v>52</v>
      </c>
    </row>
    <row r="182" spans="1:14" ht="28">
      <c r="A182" s="3" t="s">
        <v>1088</v>
      </c>
      <c r="B182" s="3" t="s">
        <v>1089</v>
      </c>
      <c r="C182" s="3" t="s">
        <v>1090</v>
      </c>
      <c r="D182" s="3" t="s">
        <v>1091</v>
      </c>
      <c r="E182" s="3" t="s">
        <v>1091</v>
      </c>
      <c r="F182" s="3" t="s">
        <v>1092</v>
      </c>
      <c r="G182" s="3" t="s">
        <v>356</v>
      </c>
      <c r="H182" s="10" t="s">
        <v>10</v>
      </c>
      <c r="I182" s="3">
        <v>0</v>
      </c>
      <c r="J182" s="3" t="s">
        <v>357</v>
      </c>
      <c r="K182" s="3" t="s">
        <v>369</v>
      </c>
      <c r="L182" s="3">
        <v>155</v>
      </c>
      <c r="M182" s="3" t="s">
        <v>358</v>
      </c>
      <c r="N182" s="3" t="s">
        <v>52</v>
      </c>
    </row>
    <row r="183" spans="1:14" ht="28">
      <c r="A183" s="3" t="s">
        <v>1093</v>
      </c>
      <c r="B183" s="3" t="s">
        <v>1094</v>
      </c>
      <c r="C183" s="3" t="s">
        <v>1095</v>
      </c>
      <c r="D183" s="3" t="s">
        <v>1096</v>
      </c>
      <c r="E183" s="3" t="s">
        <v>1096</v>
      </c>
      <c r="F183" s="3" t="s">
        <v>588</v>
      </c>
      <c r="G183" s="3" t="s">
        <v>356</v>
      </c>
      <c r="H183" s="10" t="s">
        <v>8</v>
      </c>
      <c r="I183" s="3">
        <v>1</v>
      </c>
      <c r="J183" s="3" t="s">
        <v>357</v>
      </c>
      <c r="K183" s="3" t="s">
        <v>369</v>
      </c>
      <c r="L183" s="3">
        <v>149</v>
      </c>
      <c r="M183" s="3" t="s">
        <v>358</v>
      </c>
      <c r="N183" s="3" t="s">
        <v>52</v>
      </c>
    </row>
    <row r="184" spans="1:14">
      <c r="A184" s="3" t="s">
        <v>1097</v>
      </c>
      <c r="B184" s="3" t="s">
        <v>1098</v>
      </c>
      <c r="C184" s="3" t="s">
        <v>1099</v>
      </c>
      <c r="D184" s="3" t="s">
        <v>1100</v>
      </c>
      <c r="E184" s="3" t="s">
        <v>1100</v>
      </c>
      <c r="F184" s="3" t="s">
        <v>1101</v>
      </c>
      <c r="G184" s="3" t="s">
        <v>384</v>
      </c>
      <c r="H184" s="10" t="s">
        <v>10</v>
      </c>
      <c r="I184" s="3">
        <v>0</v>
      </c>
      <c r="J184" s="3" t="s">
        <v>169</v>
      </c>
      <c r="K184" s="3" t="s">
        <v>369</v>
      </c>
      <c r="L184" s="3">
        <v>25</v>
      </c>
      <c r="M184" s="3" t="s">
        <v>358</v>
      </c>
      <c r="N184" s="3" t="s">
        <v>52</v>
      </c>
    </row>
    <row r="185" spans="1:14">
      <c r="A185" s="3" t="s">
        <v>215</v>
      </c>
      <c r="B185" s="3" t="s">
        <v>216</v>
      </c>
      <c r="C185" s="3" t="s">
        <v>1102</v>
      </c>
      <c r="D185" s="3" t="s">
        <v>1103</v>
      </c>
      <c r="E185" s="3" t="s">
        <v>1103</v>
      </c>
      <c r="F185" s="3" t="s">
        <v>217</v>
      </c>
      <c r="G185" s="3" t="s">
        <v>384</v>
      </c>
      <c r="H185" s="10" t="s">
        <v>10</v>
      </c>
      <c r="I185" s="3">
        <v>0</v>
      </c>
      <c r="J185" s="3" t="s">
        <v>169</v>
      </c>
      <c r="K185" s="3" t="s">
        <v>170</v>
      </c>
      <c r="L185" s="3">
        <v>18</v>
      </c>
      <c r="M185" s="3" t="s">
        <v>358</v>
      </c>
      <c r="N185" s="3" t="s">
        <v>52</v>
      </c>
    </row>
    <row r="186" spans="1:14">
      <c r="A186" s="3" t="s">
        <v>171</v>
      </c>
      <c r="B186" s="3" t="s">
        <v>172</v>
      </c>
      <c r="C186" s="3" t="s">
        <v>1104</v>
      </c>
      <c r="D186" s="3" t="s">
        <v>1105</v>
      </c>
      <c r="E186" s="3" t="s">
        <v>1105</v>
      </c>
      <c r="F186" s="3" t="s">
        <v>173</v>
      </c>
      <c r="G186" s="3" t="s">
        <v>384</v>
      </c>
      <c r="H186" s="10" t="s">
        <v>10</v>
      </c>
      <c r="I186" s="3">
        <v>0</v>
      </c>
      <c r="J186" s="3" t="s">
        <v>169</v>
      </c>
      <c r="K186" s="3" t="s">
        <v>170</v>
      </c>
      <c r="L186" s="3">
        <v>3</v>
      </c>
      <c r="M186" s="3" t="s">
        <v>358</v>
      </c>
      <c r="N186" s="3" t="s">
        <v>52</v>
      </c>
    </row>
    <row r="187" spans="1:14" ht="28">
      <c r="A187" s="3" t="s">
        <v>1106</v>
      </c>
      <c r="B187" s="3" t="s">
        <v>1107</v>
      </c>
      <c r="C187" s="3" t="s">
        <v>1108</v>
      </c>
      <c r="D187" s="3" t="s">
        <v>1109</v>
      </c>
      <c r="E187" s="3" t="s">
        <v>1109</v>
      </c>
      <c r="F187" s="3" t="s">
        <v>368</v>
      </c>
      <c r="G187" s="3" t="s">
        <v>356</v>
      </c>
      <c r="H187" s="10" t="s">
        <v>6</v>
      </c>
      <c r="I187" s="3">
        <v>2</v>
      </c>
      <c r="J187" s="3" t="s">
        <v>357</v>
      </c>
      <c r="K187" s="3" t="s">
        <v>369</v>
      </c>
      <c r="L187" s="3">
        <v>58</v>
      </c>
      <c r="M187" s="3" t="s">
        <v>358</v>
      </c>
      <c r="N187" s="3" t="s">
        <v>52</v>
      </c>
    </row>
    <row r="188" spans="1:14" ht="28">
      <c r="A188" s="3" t="s">
        <v>1110</v>
      </c>
      <c r="B188" s="3" t="s">
        <v>740</v>
      </c>
      <c r="C188" s="3" t="s">
        <v>1111</v>
      </c>
      <c r="D188" s="3" t="s">
        <v>1112</v>
      </c>
      <c r="E188" s="3" t="s">
        <v>1112</v>
      </c>
      <c r="F188" s="3" t="s">
        <v>1113</v>
      </c>
      <c r="G188" s="3" t="s">
        <v>356</v>
      </c>
      <c r="H188" s="10" t="s">
        <v>6</v>
      </c>
      <c r="I188" s="3">
        <v>2</v>
      </c>
      <c r="J188" s="3" t="s">
        <v>357</v>
      </c>
      <c r="K188" s="3" t="s">
        <v>369</v>
      </c>
      <c r="L188" s="3">
        <v>105</v>
      </c>
      <c r="M188" s="3" t="s">
        <v>358</v>
      </c>
      <c r="N188" s="3" t="s">
        <v>52</v>
      </c>
    </row>
    <row r="189" spans="1:14">
      <c r="A189" s="3" t="s">
        <v>1114</v>
      </c>
      <c r="B189" s="3" t="s">
        <v>1115</v>
      </c>
      <c r="C189" s="3" t="s">
        <v>1116</v>
      </c>
      <c r="D189" s="3" t="s">
        <v>1117</v>
      </c>
      <c r="E189" s="3" t="s">
        <v>1117</v>
      </c>
      <c r="F189" s="3" t="s">
        <v>1118</v>
      </c>
      <c r="G189" s="3" t="s">
        <v>356</v>
      </c>
      <c r="H189" s="10" t="s">
        <v>10</v>
      </c>
      <c r="I189" s="3">
        <v>0</v>
      </c>
      <c r="J189" s="3" t="s">
        <v>357</v>
      </c>
      <c r="K189" s="3" t="s">
        <v>369</v>
      </c>
      <c r="L189" s="3">
        <v>140</v>
      </c>
      <c r="M189" s="3" t="s">
        <v>358</v>
      </c>
      <c r="N189" s="3" t="s">
        <v>52</v>
      </c>
    </row>
    <row r="190" spans="1:14" ht="28">
      <c r="A190" s="3" t="s">
        <v>1119</v>
      </c>
      <c r="B190" s="3" t="s">
        <v>1120</v>
      </c>
      <c r="C190" s="3" t="s">
        <v>1121</v>
      </c>
      <c r="D190" s="3" t="s">
        <v>1122</v>
      </c>
      <c r="E190" s="3" t="s">
        <v>1122</v>
      </c>
      <c r="F190" s="3" t="s">
        <v>1123</v>
      </c>
      <c r="G190" s="3" t="s">
        <v>356</v>
      </c>
      <c r="H190" s="10" t="s">
        <v>10</v>
      </c>
      <c r="I190" s="3">
        <v>0</v>
      </c>
      <c r="J190" s="3" t="s">
        <v>357</v>
      </c>
      <c r="K190" s="3" t="s">
        <v>369</v>
      </c>
      <c r="L190" s="3">
        <v>133</v>
      </c>
      <c r="M190" s="3" t="s">
        <v>358</v>
      </c>
      <c r="N190" s="3" t="s">
        <v>52</v>
      </c>
    </row>
    <row r="191" spans="1:14" ht="28">
      <c r="A191" s="3" t="s">
        <v>1124</v>
      </c>
      <c r="B191" s="3" t="s">
        <v>1125</v>
      </c>
      <c r="C191" s="3" t="s">
        <v>1126</v>
      </c>
      <c r="D191" s="3" t="s">
        <v>1127</v>
      </c>
      <c r="E191" s="3" t="s">
        <v>1127</v>
      </c>
      <c r="F191" s="3" t="s">
        <v>1128</v>
      </c>
      <c r="G191" s="3" t="s">
        <v>356</v>
      </c>
      <c r="H191" s="10" t="s">
        <v>10</v>
      </c>
      <c r="I191" s="3">
        <v>0</v>
      </c>
      <c r="J191" s="3" t="s">
        <v>357</v>
      </c>
      <c r="K191" s="3" t="s">
        <v>369</v>
      </c>
      <c r="L191" s="3">
        <v>71</v>
      </c>
      <c r="M191" s="3" t="s">
        <v>358</v>
      </c>
      <c r="N191" s="3" t="s">
        <v>52</v>
      </c>
    </row>
    <row r="192" spans="1:14">
      <c r="A192" s="3" t="s">
        <v>1129</v>
      </c>
      <c r="B192" s="3" t="s">
        <v>249</v>
      </c>
      <c r="C192" s="3" t="s">
        <v>1130</v>
      </c>
      <c r="D192" s="3" t="s">
        <v>1131</v>
      </c>
      <c r="E192" s="3" t="s">
        <v>1131</v>
      </c>
      <c r="F192" s="3" t="s">
        <v>1132</v>
      </c>
      <c r="G192" s="3" t="s">
        <v>356</v>
      </c>
      <c r="H192" s="10" t="s">
        <v>10</v>
      </c>
      <c r="I192" s="3">
        <v>0</v>
      </c>
      <c r="J192" s="3" t="s">
        <v>357</v>
      </c>
      <c r="K192" s="3" t="s">
        <v>369</v>
      </c>
      <c r="L192" s="3">
        <v>156</v>
      </c>
      <c r="M192" s="3" t="s">
        <v>358</v>
      </c>
      <c r="N192" s="3" t="s">
        <v>52</v>
      </c>
    </row>
    <row r="193" spans="1:14" ht="28">
      <c r="A193" s="3" t="s">
        <v>1133</v>
      </c>
      <c r="B193" s="3" t="s">
        <v>1134</v>
      </c>
      <c r="C193" s="3" t="s">
        <v>1135</v>
      </c>
      <c r="D193" s="3" t="s">
        <v>1136</v>
      </c>
      <c r="E193" s="3" t="s">
        <v>1136</v>
      </c>
      <c r="F193" s="3" t="s">
        <v>389</v>
      </c>
      <c r="G193" s="3" t="s">
        <v>356</v>
      </c>
      <c r="H193" s="10" t="s">
        <v>10</v>
      </c>
      <c r="I193" s="3">
        <v>0</v>
      </c>
      <c r="J193" s="3" t="s">
        <v>357</v>
      </c>
      <c r="K193" s="3" t="s">
        <v>369</v>
      </c>
      <c r="L193" s="3">
        <v>86</v>
      </c>
      <c r="M193" s="3" t="s">
        <v>358</v>
      </c>
      <c r="N193" s="3" t="s">
        <v>52</v>
      </c>
    </row>
    <row r="194" spans="1:14" ht="28">
      <c r="A194" s="3" t="s">
        <v>1137</v>
      </c>
      <c r="B194" s="3" t="s">
        <v>1138</v>
      </c>
      <c r="C194" s="3" t="s">
        <v>1139</v>
      </c>
      <c r="D194" s="3" t="s">
        <v>1140</v>
      </c>
      <c r="E194" s="3" t="s">
        <v>1140</v>
      </c>
      <c r="F194" s="3" t="s">
        <v>414</v>
      </c>
      <c r="G194" s="3" t="s">
        <v>356</v>
      </c>
      <c r="H194" s="10" t="s">
        <v>8</v>
      </c>
      <c r="I194" s="3">
        <v>1</v>
      </c>
      <c r="J194" s="3" t="s">
        <v>357</v>
      </c>
      <c r="K194" s="3" t="s">
        <v>369</v>
      </c>
      <c r="L194" s="3">
        <v>34</v>
      </c>
      <c r="M194" s="3" t="s">
        <v>358</v>
      </c>
      <c r="N194" s="3" t="s">
        <v>52</v>
      </c>
    </row>
    <row r="195" spans="1:14">
      <c r="A195" s="3" t="s">
        <v>1141</v>
      </c>
      <c r="B195" s="3" t="s">
        <v>1142</v>
      </c>
      <c r="C195" s="3" t="s">
        <v>1143</v>
      </c>
      <c r="D195" s="3" t="s">
        <v>1144</v>
      </c>
      <c r="E195" s="3" t="s">
        <v>1144</v>
      </c>
      <c r="F195" s="3" t="s">
        <v>734</v>
      </c>
      <c r="G195" s="3" t="s">
        <v>356</v>
      </c>
      <c r="H195" s="10" t="s">
        <v>10</v>
      </c>
      <c r="I195" s="3">
        <v>0</v>
      </c>
      <c r="J195" s="3" t="s">
        <v>357</v>
      </c>
      <c r="K195" s="3" t="s">
        <v>369</v>
      </c>
      <c r="L195" s="3">
        <v>179</v>
      </c>
      <c r="M195" s="3" t="s">
        <v>358</v>
      </c>
      <c r="N195" s="3" t="s">
        <v>52</v>
      </c>
    </row>
    <row r="196" spans="1:14">
      <c r="A196" s="3" t="s">
        <v>1145</v>
      </c>
      <c r="B196" s="3" t="s">
        <v>302</v>
      </c>
      <c r="C196" s="3" t="s">
        <v>1146</v>
      </c>
      <c r="D196" s="3" t="s">
        <v>1147</v>
      </c>
      <c r="E196" s="3" t="s">
        <v>1147</v>
      </c>
      <c r="F196" s="3" t="s">
        <v>1148</v>
      </c>
      <c r="G196" s="3" t="s">
        <v>384</v>
      </c>
      <c r="H196" s="10" t="s">
        <v>10</v>
      </c>
      <c r="I196" s="3">
        <v>0</v>
      </c>
      <c r="J196" s="3" t="s">
        <v>169</v>
      </c>
      <c r="K196" s="3" t="s">
        <v>369</v>
      </c>
      <c r="L196" s="3">
        <v>4</v>
      </c>
      <c r="M196" s="3" t="s">
        <v>358</v>
      </c>
      <c r="N196" s="3" t="s">
        <v>52</v>
      </c>
    </row>
    <row r="197" spans="1:14" ht="28">
      <c r="A197" s="3" t="s">
        <v>257</v>
      </c>
      <c r="B197" s="3" t="s">
        <v>258</v>
      </c>
      <c r="C197" s="3" t="s">
        <v>1149</v>
      </c>
      <c r="D197" s="3" t="s">
        <v>1150</v>
      </c>
      <c r="E197" s="3" t="s">
        <v>1150</v>
      </c>
      <c r="F197" s="3" t="s">
        <v>259</v>
      </c>
      <c r="G197" s="3" t="s">
        <v>384</v>
      </c>
      <c r="H197" s="10" t="s">
        <v>10</v>
      </c>
      <c r="I197" s="3">
        <v>0</v>
      </c>
      <c r="J197" s="3" t="s">
        <v>169</v>
      </c>
      <c r="K197" s="3" t="s">
        <v>170</v>
      </c>
      <c r="L197" s="3">
        <v>32</v>
      </c>
      <c r="M197" s="3" t="s">
        <v>358</v>
      </c>
      <c r="N197" s="3" t="s">
        <v>52</v>
      </c>
    </row>
    <row r="198" spans="1:14" ht="42">
      <c r="A198" s="3" t="s">
        <v>1151</v>
      </c>
      <c r="B198" s="3" t="s">
        <v>1152</v>
      </c>
      <c r="C198" s="3" t="s">
        <v>1153</v>
      </c>
      <c r="D198" s="3" t="s">
        <v>1154</v>
      </c>
      <c r="E198" s="3" t="s">
        <v>1154</v>
      </c>
      <c r="F198" s="3" t="s">
        <v>1155</v>
      </c>
      <c r="G198" s="3" t="s">
        <v>356</v>
      </c>
      <c r="H198" s="10" t="s">
        <v>10</v>
      </c>
      <c r="I198" s="3">
        <v>0</v>
      </c>
      <c r="J198" s="3" t="s">
        <v>357</v>
      </c>
      <c r="K198" s="3" t="s">
        <v>170</v>
      </c>
      <c r="L198" s="3">
        <v>17</v>
      </c>
      <c r="M198" s="3" t="s">
        <v>358</v>
      </c>
      <c r="N198" s="3" t="s">
        <v>52</v>
      </c>
    </row>
    <row r="199" spans="1:14">
      <c r="A199" s="3" t="s">
        <v>1156</v>
      </c>
      <c r="B199" s="3" t="s">
        <v>184</v>
      </c>
      <c r="C199" s="3" t="s">
        <v>1157</v>
      </c>
      <c r="D199" s="3" t="s">
        <v>1158</v>
      </c>
      <c r="E199" s="3" t="s">
        <v>1158</v>
      </c>
      <c r="F199" s="3" t="s">
        <v>1159</v>
      </c>
      <c r="G199" s="3" t="s">
        <v>356</v>
      </c>
      <c r="H199" s="10" t="s">
        <v>10</v>
      </c>
      <c r="I199" s="3">
        <v>0</v>
      </c>
      <c r="J199" s="3" t="s">
        <v>357</v>
      </c>
      <c r="K199" s="3" t="s">
        <v>369</v>
      </c>
      <c r="L199" s="3">
        <v>147</v>
      </c>
      <c r="M199" s="3" t="s">
        <v>358</v>
      </c>
      <c r="N199" s="3" t="s">
        <v>52</v>
      </c>
    </row>
    <row r="200" spans="1:14" ht="28">
      <c r="A200" s="3" t="s">
        <v>1160</v>
      </c>
      <c r="B200" s="3" t="s">
        <v>1161</v>
      </c>
      <c r="C200" s="3" t="s">
        <v>1162</v>
      </c>
      <c r="D200" s="3" t="s">
        <v>1163</v>
      </c>
      <c r="E200" s="3" t="s">
        <v>1163</v>
      </c>
      <c r="F200" s="3" t="s">
        <v>1164</v>
      </c>
      <c r="G200" s="3" t="s">
        <v>356</v>
      </c>
      <c r="H200" s="10" t="s">
        <v>10</v>
      </c>
      <c r="I200" s="3">
        <v>0</v>
      </c>
      <c r="J200" s="3" t="s">
        <v>357</v>
      </c>
      <c r="K200" s="3" t="s">
        <v>369</v>
      </c>
      <c r="L200" s="3">
        <v>177</v>
      </c>
      <c r="M200" s="3" t="s">
        <v>358</v>
      </c>
      <c r="N200" s="3" t="s">
        <v>52</v>
      </c>
    </row>
    <row r="201" spans="1:14" ht="28">
      <c r="A201" s="3" t="s">
        <v>1165</v>
      </c>
      <c r="B201" s="3" t="s">
        <v>451</v>
      </c>
      <c r="C201" s="3" t="s">
        <v>1166</v>
      </c>
      <c r="D201" s="3" t="s">
        <v>1167</v>
      </c>
      <c r="E201" s="3" t="s">
        <v>1167</v>
      </c>
      <c r="F201" s="3" t="s">
        <v>1168</v>
      </c>
      <c r="G201" s="3" t="s">
        <v>356</v>
      </c>
      <c r="H201" s="10" t="s">
        <v>6</v>
      </c>
      <c r="I201" s="3">
        <v>2</v>
      </c>
      <c r="J201" s="3" t="s">
        <v>357</v>
      </c>
      <c r="K201" s="3" t="s">
        <v>369</v>
      </c>
      <c r="L201" s="3">
        <v>118</v>
      </c>
      <c r="M201" s="3" t="s">
        <v>358</v>
      </c>
      <c r="N201" s="3" t="s">
        <v>52</v>
      </c>
    </row>
    <row r="202" spans="1:14">
      <c r="A202" s="3" t="s">
        <v>272</v>
      </c>
      <c r="B202" s="3" t="s">
        <v>273</v>
      </c>
      <c r="C202" s="3" t="s">
        <v>1169</v>
      </c>
      <c r="D202" s="3" t="s">
        <v>1170</v>
      </c>
      <c r="E202" s="3" t="s">
        <v>1170</v>
      </c>
      <c r="F202" s="3" t="s">
        <v>274</v>
      </c>
      <c r="G202" s="3" t="s">
        <v>384</v>
      </c>
      <c r="H202" s="10" t="s">
        <v>10</v>
      </c>
      <c r="I202" s="3">
        <v>0</v>
      </c>
      <c r="J202" s="3" t="s">
        <v>169</v>
      </c>
      <c r="K202" s="3" t="s">
        <v>170</v>
      </c>
      <c r="L202" s="3">
        <v>37</v>
      </c>
      <c r="M202" s="3" t="s">
        <v>358</v>
      </c>
      <c r="N202" s="3" t="s">
        <v>52</v>
      </c>
    </row>
    <row r="203" spans="1:14" ht="28">
      <c r="A203" s="3" t="s">
        <v>1171</v>
      </c>
      <c r="B203" s="3" t="s">
        <v>1172</v>
      </c>
      <c r="C203" s="3" t="s">
        <v>1173</v>
      </c>
      <c r="D203" s="3" t="s">
        <v>1174</v>
      </c>
      <c r="E203" s="3" t="s">
        <v>1174</v>
      </c>
      <c r="F203" s="3" t="s">
        <v>965</v>
      </c>
      <c r="G203" s="3" t="s">
        <v>356</v>
      </c>
      <c r="H203" s="10" t="s">
        <v>8</v>
      </c>
      <c r="I203" s="3">
        <v>1</v>
      </c>
      <c r="J203" s="3" t="s">
        <v>357</v>
      </c>
      <c r="K203" s="3" t="s">
        <v>369</v>
      </c>
      <c r="L203" s="3">
        <v>188</v>
      </c>
      <c r="M203" s="3" t="s">
        <v>358</v>
      </c>
      <c r="N203" s="3" t="s">
        <v>52</v>
      </c>
    </row>
    <row r="204" spans="1:14" ht="28">
      <c r="A204" s="3" t="s">
        <v>1175</v>
      </c>
      <c r="B204" s="3" t="s">
        <v>1176</v>
      </c>
      <c r="C204" s="3" t="s">
        <v>1177</v>
      </c>
      <c r="D204" s="3" t="s">
        <v>1178</v>
      </c>
      <c r="E204" s="3" t="s">
        <v>1178</v>
      </c>
      <c r="F204" s="3" t="s">
        <v>1179</v>
      </c>
      <c r="G204" s="3" t="s">
        <v>356</v>
      </c>
      <c r="H204" s="10" t="s">
        <v>10</v>
      </c>
      <c r="I204" s="3">
        <v>0</v>
      </c>
      <c r="J204" s="3" t="s">
        <v>357</v>
      </c>
      <c r="K204" s="3" t="s">
        <v>170</v>
      </c>
      <c r="L204" s="3">
        <v>19</v>
      </c>
      <c r="M204" s="3" t="s">
        <v>358</v>
      </c>
      <c r="N204" s="3" t="s">
        <v>52</v>
      </c>
    </row>
    <row r="205" spans="1:14" ht="28">
      <c r="A205" s="3" t="s">
        <v>1180</v>
      </c>
      <c r="B205" s="3" t="s">
        <v>1181</v>
      </c>
      <c r="C205" s="3" t="s">
        <v>1182</v>
      </c>
      <c r="D205" s="3" t="s">
        <v>1183</v>
      </c>
      <c r="E205" s="3" t="s">
        <v>1183</v>
      </c>
      <c r="F205" s="3" t="s">
        <v>1184</v>
      </c>
      <c r="G205" s="3" t="s">
        <v>356</v>
      </c>
      <c r="H205" s="10" t="s">
        <v>8</v>
      </c>
      <c r="I205" s="3">
        <v>1</v>
      </c>
      <c r="J205" s="3" t="s">
        <v>357</v>
      </c>
      <c r="K205" s="3" t="s">
        <v>369</v>
      </c>
      <c r="L205" s="3">
        <v>98</v>
      </c>
      <c r="M205" s="3" t="s">
        <v>358</v>
      </c>
      <c r="N205" s="3" t="s">
        <v>52</v>
      </c>
    </row>
    <row r="206" spans="1:14" ht="28">
      <c r="A206" s="3" t="s">
        <v>1185</v>
      </c>
      <c r="B206" s="3" t="s">
        <v>270</v>
      </c>
      <c r="C206" s="3" t="s">
        <v>1186</v>
      </c>
      <c r="D206" s="3" t="s">
        <v>1187</v>
      </c>
      <c r="E206" s="3" t="s">
        <v>1187</v>
      </c>
      <c r="F206" s="3" t="s">
        <v>1188</v>
      </c>
      <c r="G206" s="3" t="s">
        <v>356</v>
      </c>
      <c r="H206" s="10" t="s">
        <v>10</v>
      </c>
      <c r="I206" s="3">
        <v>0</v>
      </c>
      <c r="J206" s="3" t="s">
        <v>357</v>
      </c>
      <c r="K206" s="3" t="s">
        <v>369</v>
      </c>
      <c r="L206" s="3">
        <v>195</v>
      </c>
      <c r="M206" s="3" t="s">
        <v>358</v>
      </c>
      <c r="N206" s="3" t="s">
        <v>52</v>
      </c>
    </row>
    <row r="207" spans="1:14" ht="28">
      <c r="A207" s="3" t="s">
        <v>1189</v>
      </c>
      <c r="B207" s="3" t="s">
        <v>1190</v>
      </c>
      <c r="C207" s="3" t="s">
        <v>1191</v>
      </c>
      <c r="D207" s="3" t="s">
        <v>1192</v>
      </c>
      <c r="E207" s="3" t="s">
        <v>1192</v>
      </c>
      <c r="F207" s="3" t="s">
        <v>389</v>
      </c>
      <c r="G207" s="3" t="s">
        <v>356</v>
      </c>
      <c r="H207" s="10" t="s">
        <v>10</v>
      </c>
      <c r="I207" s="3">
        <v>0</v>
      </c>
      <c r="J207" s="3" t="s">
        <v>357</v>
      </c>
      <c r="K207" s="3" t="s">
        <v>369</v>
      </c>
      <c r="L207" s="3">
        <v>163</v>
      </c>
      <c r="M207" s="3" t="s">
        <v>358</v>
      </c>
      <c r="N207" s="3" t="s">
        <v>52</v>
      </c>
    </row>
    <row r="208" spans="1:14" ht="28">
      <c r="A208" s="3" t="s">
        <v>1193</v>
      </c>
      <c r="B208" s="3" t="s">
        <v>812</v>
      </c>
      <c r="C208" s="3" t="s">
        <v>1194</v>
      </c>
      <c r="D208" s="3" t="s">
        <v>1195</v>
      </c>
      <c r="E208" s="3" t="s">
        <v>1195</v>
      </c>
      <c r="F208" s="3" t="s">
        <v>80</v>
      </c>
      <c r="G208" s="3" t="s">
        <v>356</v>
      </c>
      <c r="H208" s="10" t="s">
        <v>6</v>
      </c>
      <c r="I208" s="3">
        <v>2</v>
      </c>
      <c r="J208" s="3" t="s">
        <v>357</v>
      </c>
      <c r="K208" s="3" t="s">
        <v>369</v>
      </c>
      <c r="L208" s="3">
        <v>94</v>
      </c>
      <c r="M208" s="3" t="s">
        <v>358</v>
      </c>
      <c r="N208" s="3" t="s">
        <v>52</v>
      </c>
    </row>
    <row r="209" spans="1:14" ht="28">
      <c r="A209" s="3" t="s">
        <v>1196</v>
      </c>
      <c r="B209" s="3" t="s">
        <v>451</v>
      </c>
      <c r="C209" s="3" t="s">
        <v>1197</v>
      </c>
      <c r="D209" s="3" t="s">
        <v>1198</v>
      </c>
      <c r="E209" s="3" t="s">
        <v>1198</v>
      </c>
      <c r="F209" s="3" t="s">
        <v>1064</v>
      </c>
      <c r="G209" s="3" t="s">
        <v>356</v>
      </c>
      <c r="H209" s="10" t="s">
        <v>6</v>
      </c>
      <c r="I209" s="3">
        <v>2</v>
      </c>
      <c r="J209" s="3" t="s">
        <v>357</v>
      </c>
      <c r="K209" s="3" t="s">
        <v>369</v>
      </c>
      <c r="L209" s="3">
        <v>117</v>
      </c>
      <c r="M209" s="3" t="s">
        <v>358</v>
      </c>
      <c r="N209" s="3" t="s">
        <v>52</v>
      </c>
    </row>
    <row r="210" spans="1:14" ht="28">
      <c r="A210" s="3" t="s">
        <v>212</v>
      </c>
      <c r="B210" s="3" t="s">
        <v>213</v>
      </c>
      <c r="C210" s="3" t="s">
        <v>1199</v>
      </c>
      <c r="D210" s="3" t="s">
        <v>1200</v>
      </c>
      <c r="E210" s="3" t="s">
        <v>1200</v>
      </c>
      <c r="F210" s="3" t="s">
        <v>214</v>
      </c>
      <c r="G210" s="3" t="s">
        <v>384</v>
      </c>
      <c r="H210" s="10" t="s">
        <v>10</v>
      </c>
      <c r="I210" s="3">
        <v>0</v>
      </c>
      <c r="J210" s="3" t="s">
        <v>169</v>
      </c>
      <c r="K210" s="3" t="s">
        <v>170</v>
      </c>
      <c r="L210" s="3">
        <v>17</v>
      </c>
      <c r="M210" s="3" t="s">
        <v>358</v>
      </c>
      <c r="N210" s="3" t="s">
        <v>52</v>
      </c>
    </row>
    <row r="211" spans="1:14">
      <c r="A211" s="3" t="s">
        <v>1201</v>
      </c>
      <c r="B211" s="3" t="s">
        <v>378</v>
      </c>
      <c r="C211" s="3" t="s">
        <v>1202</v>
      </c>
      <c r="D211" s="3" t="s">
        <v>1203</v>
      </c>
      <c r="E211" s="3" t="s">
        <v>1203</v>
      </c>
      <c r="F211" s="3" t="s">
        <v>1204</v>
      </c>
      <c r="G211" s="3" t="s">
        <v>356</v>
      </c>
      <c r="H211" s="10" t="s">
        <v>8</v>
      </c>
      <c r="I211" s="3">
        <v>1</v>
      </c>
      <c r="J211" s="3" t="s">
        <v>357</v>
      </c>
      <c r="K211" s="3" t="s">
        <v>369</v>
      </c>
      <c r="L211" s="3">
        <v>77</v>
      </c>
      <c r="M211" s="3" t="s">
        <v>358</v>
      </c>
      <c r="N211" s="3" t="s">
        <v>52</v>
      </c>
    </row>
    <row r="212" spans="1:14" ht="28">
      <c r="A212" s="3" t="s">
        <v>1205</v>
      </c>
      <c r="B212" s="3" t="s">
        <v>1206</v>
      </c>
      <c r="C212" s="3" t="s">
        <v>1207</v>
      </c>
      <c r="D212" s="3" t="s">
        <v>1208</v>
      </c>
      <c r="E212" s="3" t="s">
        <v>1208</v>
      </c>
      <c r="F212" s="3" t="s">
        <v>1209</v>
      </c>
      <c r="G212" s="3" t="s">
        <v>356</v>
      </c>
      <c r="H212" s="10" t="s">
        <v>10</v>
      </c>
      <c r="I212" s="3">
        <v>0</v>
      </c>
      <c r="J212" s="3" t="s">
        <v>357</v>
      </c>
      <c r="K212" s="3" t="s">
        <v>369</v>
      </c>
      <c r="L212" s="3">
        <v>141</v>
      </c>
      <c r="M212" s="3" t="s">
        <v>358</v>
      </c>
      <c r="N212" s="3" t="s">
        <v>52</v>
      </c>
    </row>
    <row r="213" spans="1:14">
      <c r="A213" s="3" t="s">
        <v>1210</v>
      </c>
      <c r="B213" s="3" t="s">
        <v>1211</v>
      </c>
      <c r="C213" s="3" t="s">
        <v>1212</v>
      </c>
      <c r="D213" s="3" t="s">
        <v>1213</v>
      </c>
      <c r="E213" s="3" t="s">
        <v>1213</v>
      </c>
      <c r="F213" s="3" t="s">
        <v>1214</v>
      </c>
      <c r="G213" s="3" t="s">
        <v>356</v>
      </c>
      <c r="H213" s="10" t="s">
        <v>10</v>
      </c>
      <c r="I213" s="3">
        <v>0</v>
      </c>
      <c r="J213" s="3" t="s">
        <v>357</v>
      </c>
      <c r="K213" s="3" t="s">
        <v>170</v>
      </c>
      <c r="L213" s="3">
        <v>27</v>
      </c>
      <c r="M213" s="3" t="s">
        <v>358</v>
      </c>
      <c r="N213" s="3" t="s">
        <v>52</v>
      </c>
    </row>
    <row r="214" spans="1:14" ht="28">
      <c r="A214" s="3" t="s">
        <v>1215</v>
      </c>
      <c r="B214" s="3" t="s">
        <v>1216</v>
      </c>
      <c r="C214" s="3" t="s">
        <v>1217</v>
      </c>
      <c r="D214" s="3" t="s">
        <v>1218</v>
      </c>
      <c r="E214" s="3" t="s">
        <v>1218</v>
      </c>
      <c r="F214" s="3" t="s">
        <v>1219</v>
      </c>
      <c r="G214" s="3" t="s">
        <v>356</v>
      </c>
      <c r="H214" s="10" t="s">
        <v>10</v>
      </c>
      <c r="I214" s="3">
        <v>0</v>
      </c>
      <c r="J214" s="3" t="s">
        <v>357</v>
      </c>
      <c r="K214" s="3" t="s">
        <v>170</v>
      </c>
      <c r="L214" s="3">
        <v>18</v>
      </c>
      <c r="M214" s="3" t="s">
        <v>358</v>
      </c>
      <c r="N214" s="3" t="s">
        <v>52</v>
      </c>
    </row>
    <row r="215" spans="1:14">
      <c r="A215" s="3" t="s">
        <v>339</v>
      </c>
      <c r="B215" s="3" t="s">
        <v>340</v>
      </c>
      <c r="C215" s="3" t="s">
        <v>1220</v>
      </c>
      <c r="D215" s="3" t="s">
        <v>1221</v>
      </c>
      <c r="E215" s="3" t="s">
        <v>1221</v>
      </c>
      <c r="F215" s="3" t="s">
        <v>341</v>
      </c>
      <c r="G215" s="3" t="s">
        <v>384</v>
      </c>
      <c r="H215" s="10" t="s">
        <v>10</v>
      </c>
      <c r="I215" s="3">
        <v>0</v>
      </c>
      <c r="J215" s="3" t="s">
        <v>169</v>
      </c>
      <c r="K215" s="3" t="s">
        <v>170</v>
      </c>
      <c r="L215" s="3">
        <v>60</v>
      </c>
      <c r="M215" s="3" t="s">
        <v>358</v>
      </c>
      <c r="N215" s="3" t="s">
        <v>52</v>
      </c>
    </row>
    <row r="216" spans="1:14" ht="28">
      <c r="A216" s="3" t="s">
        <v>209</v>
      </c>
      <c r="B216" s="3" t="s">
        <v>210</v>
      </c>
      <c r="C216" s="3" t="s">
        <v>1222</v>
      </c>
      <c r="D216" s="3" t="s">
        <v>1223</v>
      </c>
      <c r="E216" s="3" t="s">
        <v>1223</v>
      </c>
      <c r="F216" s="3" t="s">
        <v>211</v>
      </c>
      <c r="G216" s="3" t="s">
        <v>384</v>
      </c>
      <c r="H216" s="10" t="s">
        <v>10</v>
      </c>
      <c r="I216" s="3">
        <v>0</v>
      </c>
      <c r="J216" s="3" t="s">
        <v>169</v>
      </c>
      <c r="K216" s="3" t="s">
        <v>170</v>
      </c>
      <c r="L216" s="3">
        <v>16</v>
      </c>
      <c r="M216" s="3" t="s">
        <v>358</v>
      </c>
      <c r="N216" s="3" t="s">
        <v>52</v>
      </c>
    </row>
    <row r="217" spans="1:14" ht="28">
      <c r="A217" s="3" t="s">
        <v>301</v>
      </c>
      <c r="B217" s="3" t="s">
        <v>302</v>
      </c>
      <c r="C217" s="3" t="s">
        <v>1224</v>
      </c>
      <c r="D217" s="3" t="s">
        <v>1225</v>
      </c>
      <c r="E217" s="3" t="s">
        <v>1225</v>
      </c>
      <c r="F217" s="3" t="s">
        <v>303</v>
      </c>
      <c r="G217" s="3" t="s">
        <v>384</v>
      </c>
      <c r="H217" s="10" t="s">
        <v>10</v>
      </c>
      <c r="I217" s="3">
        <v>0</v>
      </c>
      <c r="J217" s="3" t="s">
        <v>169</v>
      </c>
      <c r="K217" s="3" t="s">
        <v>170</v>
      </c>
      <c r="L217" s="3">
        <v>47</v>
      </c>
      <c r="M217" s="3" t="s">
        <v>358</v>
      </c>
      <c r="N217" s="3" t="s">
        <v>52</v>
      </c>
    </row>
    <row r="218" spans="1:14" ht="28">
      <c r="A218" s="3" t="s">
        <v>1226</v>
      </c>
      <c r="B218" s="3" t="s">
        <v>1227</v>
      </c>
      <c r="C218" s="3" t="s">
        <v>1228</v>
      </c>
      <c r="D218" s="3" t="s">
        <v>1229</v>
      </c>
      <c r="E218" s="3" t="s">
        <v>1229</v>
      </c>
      <c r="F218" s="3" t="s">
        <v>414</v>
      </c>
      <c r="G218" s="3" t="s">
        <v>356</v>
      </c>
      <c r="H218" s="10" t="s">
        <v>8</v>
      </c>
      <c r="I218" s="3">
        <v>1</v>
      </c>
      <c r="J218" s="3" t="s">
        <v>357</v>
      </c>
      <c r="K218" s="3" t="s">
        <v>369</v>
      </c>
      <c r="L218" s="3">
        <v>20</v>
      </c>
      <c r="M218" s="3" t="s">
        <v>358</v>
      </c>
      <c r="N218" s="3" t="s">
        <v>52</v>
      </c>
    </row>
    <row r="219" spans="1:14">
      <c r="A219" s="3" t="s">
        <v>1230</v>
      </c>
      <c r="B219" s="3" t="s">
        <v>451</v>
      </c>
      <c r="C219" s="3" t="s">
        <v>1231</v>
      </c>
      <c r="D219" s="3" t="s">
        <v>1232</v>
      </c>
      <c r="E219" s="3" t="s">
        <v>1232</v>
      </c>
      <c r="F219" s="3" t="s">
        <v>1233</v>
      </c>
      <c r="G219" s="3" t="s">
        <v>356</v>
      </c>
      <c r="H219" s="10" t="s">
        <v>10</v>
      </c>
      <c r="I219" s="3">
        <v>0</v>
      </c>
      <c r="J219" s="3" t="s">
        <v>357</v>
      </c>
      <c r="K219" s="3" t="s">
        <v>369</v>
      </c>
      <c r="L219" s="3">
        <v>109</v>
      </c>
      <c r="M219" s="3" t="s">
        <v>358</v>
      </c>
      <c r="N219" s="3" t="s">
        <v>52</v>
      </c>
    </row>
    <row r="220" spans="1:14">
      <c r="A220" s="3" t="s">
        <v>1234</v>
      </c>
      <c r="B220" s="3" t="s">
        <v>1235</v>
      </c>
      <c r="C220" s="3" t="s">
        <v>1236</v>
      </c>
      <c r="D220" s="3" t="s">
        <v>1237</v>
      </c>
      <c r="E220" s="3" t="s">
        <v>1237</v>
      </c>
      <c r="F220" s="3" t="s">
        <v>1238</v>
      </c>
      <c r="G220" s="3" t="s">
        <v>356</v>
      </c>
      <c r="H220" s="10" t="s">
        <v>10</v>
      </c>
      <c r="I220" s="3">
        <v>0</v>
      </c>
      <c r="J220" s="3" t="s">
        <v>357</v>
      </c>
      <c r="K220" s="3" t="s">
        <v>369</v>
      </c>
      <c r="L220" s="3">
        <v>187</v>
      </c>
      <c r="M220" s="3" t="s">
        <v>358</v>
      </c>
      <c r="N220" s="3" t="s">
        <v>52</v>
      </c>
    </row>
    <row r="221" spans="1:14">
      <c r="A221" s="3" t="s">
        <v>236</v>
      </c>
      <c r="B221" s="3" t="s">
        <v>237</v>
      </c>
      <c r="C221" s="3" t="s">
        <v>1239</v>
      </c>
      <c r="D221" s="3" t="s">
        <v>1240</v>
      </c>
      <c r="E221" s="3" t="s">
        <v>1240</v>
      </c>
      <c r="F221" s="3" t="s">
        <v>238</v>
      </c>
      <c r="G221" s="3" t="s">
        <v>384</v>
      </c>
      <c r="H221" s="10" t="s">
        <v>10</v>
      </c>
      <c r="I221" s="3">
        <v>0</v>
      </c>
      <c r="J221" s="3" t="s">
        <v>169</v>
      </c>
      <c r="K221" s="3" t="s">
        <v>170</v>
      </c>
      <c r="L221" s="3">
        <v>25</v>
      </c>
      <c r="M221" s="3" t="s">
        <v>358</v>
      </c>
      <c r="N221" s="3" t="s">
        <v>52</v>
      </c>
    </row>
    <row r="222" spans="1:14">
      <c r="A222" s="3" t="s">
        <v>298</v>
      </c>
      <c r="B222" s="3" t="s">
        <v>299</v>
      </c>
      <c r="C222" s="3" t="s">
        <v>1241</v>
      </c>
      <c r="D222" s="3" t="s">
        <v>1242</v>
      </c>
      <c r="E222" s="3" t="s">
        <v>1242</v>
      </c>
      <c r="F222" s="3" t="s">
        <v>300</v>
      </c>
      <c r="G222" s="3" t="s">
        <v>384</v>
      </c>
      <c r="H222" s="10" t="s">
        <v>10</v>
      </c>
      <c r="I222" s="3">
        <v>0</v>
      </c>
      <c r="J222" s="3" t="s">
        <v>169</v>
      </c>
      <c r="K222" s="3" t="s">
        <v>170</v>
      </c>
      <c r="L222" s="3">
        <v>46</v>
      </c>
      <c r="M222" s="3" t="s">
        <v>358</v>
      </c>
      <c r="N222" s="3" t="s">
        <v>52</v>
      </c>
    </row>
    <row r="223" spans="1:14">
      <c r="A223" s="3" t="s">
        <v>1243</v>
      </c>
      <c r="B223" s="3" t="s">
        <v>834</v>
      </c>
      <c r="C223" s="3" t="s">
        <v>1244</v>
      </c>
      <c r="D223" s="3" t="s">
        <v>1245</v>
      </c>
      <c r="E223" s="3" t="s">
        <v>1245</v>
      </c>
      <c r="F223" s="3" t="s">
        <v>1246</v>
      </c>
      <c r="G223" s="3" t="s">
        <v>356</v>
      </c>
      <c r="H223" s="10" t="s">
        <v>10</v>
      </c>
      <c r="I223" s="3">
        <v>0</v>
      </c>
      <c r="J223" s="3" t="s">
        <v>357</v>
      </c>
      <c r="K223" s="3" t="s">
        <v>369</v>
      </c>
      <c r="L223" s="3">
        <v>83</v>
      </c>
      <c r="M223" s="3" t="s">
        <v>358</v>
      </c>
      <c r="N223" s="3" t="s">
        <v>52</v>
      </c>
    </row>
    <row r="224" spans="1:14" ht="28">
      <c r="A224" s="3" t="s">
        <v>1247</v>
      </c>
      <c r="B224" s="3" t="s">
        <v>1248</v>
      </c>
      <c r="C224" s="3" t="s">
        <v>1249</v>
      </c>
      <c r="D224" s="3" t="s">
        <v>1250</v>
      </c>
      <c r="E224" s="3" t="s">
        <v>1250</v>
      </c>
      <c r="F224" s="3" t="s">
        <v>1251</v>
      </c>
      <c r="G224" s="3" t="s">
        <v>356</v>
      </c>
      <c r="H224" s="10" t="s">
        <v>10</v>
      </c>
      <c r="I224" s="3">
        <v>0</v>
      </c>
      <c r="J224" s="3" t="s">
        <v>357</v>
      </c>
      <c r="K224" s="3" t="s">
        <v>170</v>
      </c>
      <c r="L224" s="3">
        <v>10</v>
      </c>
      <c r="M224" s="3" t="s">
        <v>358</v>
      </c>
      <c r="N224" s="3" t="s">
        <v>52</v>
      </c>
    </row>
    <row r="225" spans="1:14" ht="28">
      <c r="A225" s="3" t="s">
        <v>1252</v>
      </c>
      <c r="B225" s="3" t="s">
        <v>1253</v>
      </c>
      <c r="C225" s="3" t="s">
        <v>1254</v>
      </c>
      <c r="D225" s="3" t="s">
        <v>1255</v>
      </c>
      <c r="E225" s="3" t="s">
        <v>1255</v>
      </c>
      <c r="F225" s="3" t="s">
        <v>1256</v>
      </c>
      <c r="G225" s="3" t="s">
        <v>384</v>
      </c>
      <c r="H225" s="10" t="s">
        <v>10</v>
      </c>
      <c r="I225" s="3">
        <v>0</v>
      </c>
      <c r="J225" s="3" t="s">
        <v>169</v>
      </c>
      <c r="K225" s="3" t="s">
        <v>369</v>
      </c>
      <c r="L225" s="3">
        <v>12</v>
      </c>
      <c r="M225" s="3" t="s">
        <v>358</v>
      </c>
      <c r="N225" s="3" t="s">
        <v>52</v>
      </c>
    </row>
    <row r="226" spans="1:14" ht="28">
      <c r="A226" s="3" t="s">
        <v>1257</v>
      </c>
      <c r="B226" s="3" t="s">
        <v>1258</v>
      </c>
      <c r="C226" s="3" t="s">
        <v>1259</v>
      </c>
      <c r="D226" s="3" t="s">
        <v>1260</v>
      </c>
      <c r="E226" s="3" t="s">
        <v>1260</v>
      </c>
      <c r="F226" s="3" t="s">
        <v>1261</v>
      </c>
      <c r="G226" s="3" t="s">
        <v>356</v>
      </c>
      <c r="H226" s="10" t="s">
        <v>6</v>
      </c>
      <c r="I226" s="3">
        <v>2</v>
      </c>
      <c r="J226" s="3" t="s">
        <v>357</v>
      </c>
      <c r="K226" s="3" t="s">
        <v>369</v>
      </c>
      <c r="L226" s="3">
        <v>28</v>
      </c>
      <c r="M226" s="3" t="s">
        <v>358</v>
      </c>
      <c r="N226" s="3" t="s">
        <v>52</v>
      </c>
    </row>
    <row r="227" spans="1:14" ht="28">
      <c r="A227" s="3" t="s">
        <v>1262</v>
      </c>
      <c r="B227" s="3" t="s">
        <v>308</v>
      </c>
      <c r="C227" s="3" t="s">
        <v>1263</v>
      </c>
      <c r="D227" s="3" t="s">
        <v>1264</v>
      </c>
      <c r="E227" s="3" t="s">
        <v>1264</v>
      </c>
      <c r="F227" s="3" t="s">
        <v>1265</v>
      </c>
      <c r="G227" s="3" t="s">
        <v>356</v>
      </c>
      <c r="H227" s="10" t="s">
        <v>10</v>
      </c>
      <c r="I227" s="3">
        <v>0</v>
      </c>
      <c r="J227" s="3" t="s">
        <v>357</v>
      </c>
      <c r="K227" s="3" t="s">
        <v>170</v>
      </c>
      <c r="L227" s="3">
        <v>33</v>
      </c>
      <c r="M227" s="3" t="s">
        <v>358</v>
      </c>
      <c r="N227" s="3" t="s">
        <v>52</v>
      </c>
    </row>
    <row r="228" spans="1:14" ht="28">
      <c r="A228" s="3" t="s">
        <v>1266</v>
      </c>
      <c r="B228" s="3" t="s">
        <v>1267</v>
      </c>
      <c r="C228" s="3" t="s">
        <v>1268</v>
      </c>
      <c r="D228" s="3" t="s">
        <v>1269</v>
      </c>
      <c r="E228" s="3" t="s">
        <v>1269</v>
      </c>
      <c r="F228" s="3" t="s">
        <v>588</v>
      </c>
      <c r="G228" s="3" t="s">
        <v>356</v>
      </c>
      <c r="H228" s="10" t="s">
        <v>8</v>
      </c>
      <c r="I228" s="3">
        <v>1</v>
      </c>
      <c r="J228" s="3" t="s">
        <v>357</v>
      </c>
      <c r="K228" s="3" t="s">
        <v>369</v>
      </c>
      <c r="L228" s="3">
        <v>18</v>
      </c>
      <c r="M228" s="3" t="s">
        <v>358</v>
      </c>
      <c r="N228" s="3" t="s">
        <v>52</v>
      </c>
    </row>
    <row r="229" spans="1:14">
      <c r="A229" s="3" t="s">
        <v>342</v>
      </c>
      <c r="B229" s="3" t="s">
        <v>343</v>
      </c>
      <c r="C229" s="3" t="s">
        <v>1270</v>
      </c>
      <c r="D229" s="3" t="s">
        <v>1271</v>
      </c>
      <c r="E229" s="3" t="s">
        <v>1271</v>
      </c>
      <c r="F229" s="3" t="s">
        <v>344</v>
      </c>
      <c r="G229" s="3" t="s">
        <v>384</v>
      </c>
      <c r="H229" s="10" t="s">
        <v>10</v>
      </c>
      <c r="I229" s="3">
        <v>0</v>
      </c>
      <c r="J229" s="3" t="s">
        <v>169</v>
      </c>
      <c r="K229" s="3" t="s">
        <v>170</v>
      </c>
      <c r="L229" s="3">
        <v>61</v>
      </c>
      <c r="M229" s="3" t="s">
        <v>358</v>
      </c>
      <c r="N229" s="3" t="s">
        <v>52</v>
      </c>
    </row>
    <row r="230" spans="1:14" ht="28">
      <c r="A230" s="3" t="s">
        <v>1272</v>
      </c>
      <c r="B230" s="3" t="s">
        <v>207</v>
      </c>
      <c r="C230" s="3" t="s">
        <v>1273</v>
      </c>
      <c r="D230" s="3" t="s">
        <v>1274</v>
      </c>
      <c r="E230" s="3" t="s">
        <v>1274</v>
      </c>
      <c r="F230" s="3" t="s">
        <v>1275</v>
      </c>
      <c r="G230" s="3" t="s">
        <v>356</v>
      </c>
      <c r="H230" s="10" t="s">
        <v>10</v>
      </c>
      <c r="I230" s="3">
        <v>0</v>
      </c>
      <c r="J230" s="3" t="s">
        <v>357</v>
      </c>
      <c r="K230" s="3" t="s">
        <v>369</v>
      </c>
      <c r="L230" s="3">
        <v>145</v>
      </c>
      <c r="M230" s="3" t="s">
        <v>358</v>
      </c>
      <c r="N230" s="3" t="s">
        <v>52</v>
      </c>
    </row>
    <row r="231" spans="1:14" ht="28">
      <c r="A231" s="3" t="s">
        <v>1276</v>
      </c>
      <c r="B231" s="3" t="s">
        <v>1277</v>
      </c>
      <c r="C231" s="3" t="s">
        <v>1278</v>
      </c>
      <c r="D231" s="3" t="s">
        <v>1279</v>
      </c>
      <c r="E231" s="3" t="s">
        <v>1279</v>
      </c>
      <c r="F231" s="3" t="s">
        <v>729</v>
      </c>
      <c r="G231" s="3" t="s">
        <v>356</v>
      </c>
      <c r="H231" s="10" t="s">
        <v>8</v>
      </c>
      <c r="I231" s="3">
        <v>1</v>
      </c>
      <c r="J231" s="3" t="s">
        <v>357</v>
      </c>
      <c r="K231" s="3" t="s">
        <v>369</v>
      </c>
      <c r="L231" s="3">
        <v>40</v>
      </c>
      <c r="M231" s="3" t="s">
        <v>358</v>
      </c>
      <c r="N231" s="3" t="s">
        <v>52</v>
      </c>
    </row>
    <row r="232" spans="1:14">
      <c r="A232" s="3" t="s">
        <v>1280</v>
      </c>
      <c r="B232" s="3" t="s">
        <v>451</v>
      </c>
      <c r="C232" s="3" t="s">
        <v>1281</v>
      </c>
      <c r="D232" s="3" t="s">
        <v>1282</v>
      </c>
      <c r="E232" s="3" t="s">
        <v>1282</v>
      </c>
      <c r="F232" s="3" t="s">
        <v>136</v>
      </c>
      <c r="G232" s="3" t="s">
        <v>356</v>
      </c>
      <c r="H232" s="10" t="s">
        <v>6</v>
      </c>
      <c r="I232" s="3">
        <v>2</v>
      </c>
      <c r="J232" s="3" t="s">
        <v>357</v>
      </c>
      <c r="K232" s="3" t="s">
        <v>369</v>
      </c>
      <c r="L232" s="3">
        <v>110</v>
      </c>
      <c r="M232" s="3" t="s">
        <v>358</v>
      </c>
      <c r="N232" s="3" t="s">
        <v>52</v>
      </c>
    </row>
    <row r="233" spans="1:14">
      <c r="A233" s="3" t="s">
        <v>1283</v>
      </c>
      <c r="B233" s="3" t="s">
        <v>337</v>
      </c>
      <c r="C233" s="3" t="s">
        <v>1284</v>
      </c>
      <c r="D233" s="3" t="s">
        <v>1285</v>
      </c>
      <c r="E233" s="3" t="s">
        <v>1285</v>
      </c>
      <c r="F233" s="3" t="s">
        <v>1286</v>
      </c>
      <c r="G233" s="3" t="s">
        <v>384</v>
      </c>
      <c r="H233" s="10" t="s">
        <v>10</v>
      </c>
      <c r="I233" s="3">
        <v>0</v>
      </c>
      <c r="J233" s="3" t="s">
        <v>169</v>
      </c>
      <c r="K233" s="3" t="s">
        <v>369</v>
      </c>
      <c r="L233" s="3">
        <v>17</v>
      </c>
      <c r="M233" s="3" t="s">
        <v>358</v>
      </c>
      <c r="N233" s="3" t="s">
        <v>52</v>
      </c>
    </row>
    <row r="234" spans="1:14" ht="28">
      <c r="A234" s="3" t="s">
        <v>1287</v>
      </c>
      <c r="B234" s="3" t="s">
        <v>118</v>
      </c>
      <c r="C234" s="3" t="s">
        <v>1288</v>
      </c>
      <c r="D234" s="3" t="s">
        <v>1289</v>
      </c>
      <c r="E234" s="3" t="s">
        <v>1289</v>
      </c>
      <c r="F234" s="3" t="s">
        <v>1290</v>
      </c>
      <c r="G234" s="3" t="s">
        <v>356</v>
      </c>
      <c r="H234" s="10" t="s">
        <v>10</v>
      </c>
      <c r="I234" s="3">
        <v>0</v>
      </c>
      <c r="J234" s="3" t="s">
        <v>357</v>
      </c>
      <c r="K234" s="3" t="s">
        <v>369</v>
      </c>
      <c r="L234" s="3">
        <v>119</v>
      </c>
      <c r="M234" s="3" t="s">
        <v>358</v>
      </c>
      <c r="N234" s="3" t="s">
        <v>52</v>
      </c>
    </row>
    <row r="235" spans="1:14">
      <c r="A235" s="3" t="s">
        <v>1291</v>
      </c>
      <c r="B235" s="3" t="s">
        <v>705</v>
      </c>
      <c r="C235" s="3" t="s">
        <v>1292</v>
      </c>
      <c r="D235" s="3" t="s">
        <v>1293</v>
      </c>
      <c r="E235" s="3" t="s">
        <v>1293</v>
      </c>
      <c r="F235" s="3" t="s">
        <v>734</v>
      </c>
      <c r="G235" s="3" t="s">
        <v>356</v>
      </c>
      <c r="H235" s="10" t="s">
        <v>10</v>
      </c>
      <c r="I235" s="3">
        <v>0</v>
      </c>
      <c r="J235" s="3" t="s">
        <v>357</v>
      </c>
      <c r="K235" s="3" t="s">
        <v>369</v>
      </c>
      <c r="L235" s="3">
        <v>136</v>
      </c>
      <c r="M235" s="3" t="s">
        <v>358</v>
      </c>
      <c r="N235" s="3" t="s">
        <v>52</v>
      </c>
    </row>
    <row r="236" spans="1:14" ht="28">
      <c r="A236" s="3" t="s">
        <v>1294</v>
      </c>
      <c r="B236" s="3" t="s">
        <v>1295</v>
      </c>
      <c r="C236" s="3" t="s">
        <v>1296</v>
      </c>
      <c r="D236" s="3" t="s">
        <v>1297</v>
      </c>
      <c r="E236" s="3" t="s">
        <v>1297</v>
      </c>
      <c r="F236" s="3" t="s">
        <v>1298</v>
      </c>
      <c r="G236" s="3" t="s">
        <v>356</v>
      </c>
      <c r="H236" s="10" t="s">
        <v>10</v>
      </c>
      <c r="I236" s="3">
        <v>0</v>
      </c>
      <c r="J236" s="3" t="s">
        <v>357</v>
      </c>
      <c r="K236" s="3" t="s">
        <v>369</v>
      </c>
      <c r="L236" s="3">
        <v>143</v>
      </c>
      <c r="M236" s="3" t="s">
        <v>358</v>
      </c>
      <c r="N236" s="3" t="s">
        <v>52</v>
      </c>
    </row>
    <row r="237" spans="1:14">
      <c r="A237" s="3" t="s">
        <v>1299</v>
      </c>
      <c r="B237" s="3" t="s">
        <v>570</v>
      </c>
      <c r="C237" s="3" t="s">
        <v>1300</v>
      </c>
      <c r="D237" s="3" t="s">
        <v>1301</v>
      </c>
      <c r="E237" s="3" t="s">
        <v>1301</v>
      </c>
      <c r="F237" s="3" t="s">
        <v>1302</v>
      </c>
      <c r="G237" s="3" t="s">
        <v>356</v>
      </c>
      <c r="H237" s="10" t="s">
        <v>10</v>
      </c>
      <c r="I237" s="3">
        <v>0</v>
      </c>
      <c r="J237" s="3" t="s">
        <v>357</v>
      </c>
      <c r="K237" s="3" t="s">
        <v>369</v>
      </c>
      <c r="L237" s="3">
        <v>102</v>
      </c>
      <c r="M237" s="3" t="s">
        <v>358</v>
      </c>
      <c r="N237" s="3" t="s">
        <v>52</v>
      </c>
    </row>
    <row r="238" spans="1:14" ht="28">
      <c r="A238" s="3" t="s">
        <v>1303</v>
      </c>
      <c r="B238" s="3" t="s">
        <v>1304</v>
      </c>
      <c r="C238" s="3" t="s">
        <v>1305</v>
      </c>
      <c r="D238" s="3" t="s">
        <v>1306</v>
      </c>
      <c r="E238" s="3" t="s">
        <v>1306</v>
      </c>
      <c r="F238" s="3" t="s">
        <v>1307</v>
      </c>
      <c r="G238" s="3" t="s">
        <v>356</v>
      </c>
      <c r="H238" s="10" t="s">
        <v>10</v>
      </c>
      <c r="I238" s="3">
        <v>0</v>
      </c>
      <c r="J238" s="3" t="s">
        <v>357</v>
      </c>
      <c r="K238" s="3" t="s">
        <v>369</v>
      </c>
      <c r="L238" s="3">
        <v>194</v>
      </c>
      <c r="M238" s="3" t="s">
        <v>358</v>
      </c>
      <c r="N238" s="3" t="s">
        <v>52</v>
      </c>
    </row>
    <row r="239" spans="1:14" ht="28">
      <c r="A239" s="3" t="s">
        <v>1308</v>
      </c>
      <c r="B239" s="3" t="s">
        <v>1309</v>
      </c>
      <c r="C239" s="3" t="s">
        <v>1310</v>
      </c>
      <c r="D239" s="3" t="s">
        <v>1311</v>
      </c>
      <c r="E239" s="3" t="s">
        <v>1311</v>
      </c>
      <c r="F239" s="3" t="s">
        <v>214</v>
      </c>
      <c r="G239" s="3" t="s">
        <v>356</v>
      </c>
      <c r="H239" s="10" t="s">
        <v>10</v>
      </c>
      <c r="I239" s="3">
        <v>0</v>
      </c>
      <c r="J239" s="3" t="s">
        <v>357</v>
      </c>
      <c r="K239" s="3" t="s">
        <v>170</v>
      </c>
      <c r="L239" s="3">
        <v>48</v>
      </c>
      <c r="M239" s="3" t="s">
        <v>358</v>
      </c>
      <c r="N239" s="3" t="s">
        <v>52</v>
      </c>
    </row>
    <row r="240" spans="1:14" ht="28">
      <c r="A240" s="3" t="s">
        <v>186</v>
      </c>
      <c r="B240" s="3" t="s">
        <v>187</v>
      </c>
      <c r="C240" s="3" t="s">
        <v>1312</v>
      </c>
      <c r="D240" s="3" t="s">
        <v>1313</v>
      </c>
      <c r="E240" s="3" t="s">
        <v>1313</v>
      </c>
      <c r="F240" s="3" t="s">
        <v>188</v>
      </c>
      <c r="G240" s="3" t="s">
        <v>384</v>
      </c>
      <c r="H240" s="10" t="s">
        <v>10</v>
      </c>
      <c r="I240" s="3">
        <v>0</v>
      </c>
      <c r="J240" s="3" t="s">
        <v>169</v>
      </c>
      <c r="K240" s="3" t="s">
        <v>170</v>
      </c>
      <c r="L240" s="3">
        <v>8</v>
      </c>
      <c r="M240" s="3" t="s">
        <v>358</v>
      </c>
      <c r="N240" s="3" t="s">
        <v>52</v>
      </c>
    </row>
    <row r="241" spans="1:14" ht="28">
      <c r="A241" s="3" t="s">
        <v>221</v>
      </c>
      <c r="B241" s="3" t="s">
        <v>222</v>
      </c>
      <c r="C241" s="3" t="s">
        <v>1314</v>
      </c>
      <c r="D241" s="3" t="s">
        <v>1315</v>
      </c>
      <c r="E241" s="3" t="s">
        <v>1315</v>
      </c>
      <c r="F241" s="3" t="s">
        <v>223</v>
      </c>
      <c r="G241" s="3" t="s">
        <v>384</v>
      </c>
      <c r="H241" s="10" t="s">
        <v>10</v>
      </c>
      <c r="I241" s="3">
        <v>0</v>
      </c>
      <c r="J241" s="3" t="s">
        <v>169</v>
      </c>
      <c r="K241" s="3" t="s">
        <v>170</v>
      </c>
      <c r="L241" s="3">
        <v>20</v>
      </c>
      <c r="M241" s="3" t="s">
        <v>358</v>
      </c>
      <c r="N241" s="3" t="s">
        <v>52</v>
      </c>
    </row>
    <row r="242" spans="1:14" ht="28">
      <c r="A242" s="3" t="s">
        <v>1316</v>
      </c>
      <c r="B242" s="3" t="s">
        <v>1317</v>
      </c>
      <c r="C242" s="3" t="s">
        <v>1318</v>
      </c>
      <c r="D242" s="3" t="s">
        <v>1319</v>
      </c>
      <c r="E242" s="3" t="s">
        <v>1319</v>
      </c>
      <c r="F242" s="3" t="s">
        <v>1320</v>
      </c>
      <c r="G242" s="3" t="s">
        <v>356</v>
      </c>
      <c r="H242" s="10" t="s">
        <v>10</v>
      </c>
      <c r="I242" s="3">
        <v>0</v>
      </c>
      <c r="J242" s="3" t="s">
        <v>357</v>
      </c>
      <c r="K242" s="3" t="s">
        <v>170</v>
      </c>
      <c r="L242" s="3">
        <v>24</v>
      </c>
      <c r="M242" s="3" t="s">
        <v>358</v>
      </c>
      <c r="N242" s="3" t="s">
        <v>52</v>
      </c>
    </row>
    <row r="243" spans="1:14">
      <c r="A243" s="3" t="s">
        <v>1321</v>
      </c>
      <c r="B243" s="3" t="s">
        <v>1045</v>
      </c>
      <c r="C243" s="3" t="s">
        <v>1322</v>
      </c>
      <c r="D243" s="3" t="s">
        <v>1323</v>
      </c>
      <c r="E243" s="3" t="s">
        <v>1323</v>
      </c>
      <c r="F243" s="3" t="s">
        <v>1324</v>
      </c>
      <c r="G243" s="3" t="s">
        <v>356</v>
      </c>
      <c r="H243" s="10" t="s">
        <v>6</v>
      </c>
      <c r="I243" s="3">
        <v>2</v>
      </c>
      <c r="J243" s="3" t="s">
        <v>357</v>
      </c>
      <c r="K243" s="3" t="s">
        <v>369</v>
      </c>
      <c r="L243" s="3">
        <v>70</v>
      </c>
      <c r="M243" s="3" t="s">
        <v>358</v>
      </c>
      <c r="N243" s="3" t="s">
        <v>52</v>
      </c>
    </row>
    <row r="244" spans="1:14" ht="28">
      <c r="A244" s="3" t="s">
        <v>1325</v>
      </c>
      <c r="B244" s="3" t="s">
        <v>1326</v>
      </c>
      <c r="C244" s="3" t="s">
        <v>1327</v>
      </c>
      <c r="D244" s="3" t="s">
        <v>1328</v>
      </c>
      <c r="E244" s="3" t="s">
        <v>1328</v>
      </c>
      <c r="F244" s="3" t="s">
        <v>1329</v>
      </c>
      <c r="G244" s="3" t="s">
        <v>356</v>
      </c>
      <c r="H244" s="10" t="s">
        <v>10</v>
      </c>
      <c r="I244" s="3">
        <v>0</v>
      </c>
      <c r="J244" s="3" t="s">
        <v>357</v>
      </c>
      <c r="K244" s="3" t="s">
        <v>170</v>
      </c>
      <c r="L244" s="3">
        <v>4</v>
      </c>
      <c r="M244" s="3" t="s">
        <v>358</v>
      </c>
      <c r="N244" s="3" t="s">
        <v>52</v>
      </c>
    </row>
    <row r="245" spans="1:14" ht="28">
      <c r="A245" s="3" t="s">
        <v>239</v>
      </c>
      <c r="B245" s="3" t="s">
        <v>240</v>
      </c>
      <c r="C245" s="3" t="s">
        <v>1330</v>
      </c>
      <c r="D245" s="3" t="s">
        <v>1331</v>
      </c>
      <c r="E245" s="3" t="s">
        <v>1331</v>
      </c>
      <c r="F245" s="3" t="s">
        <v>241</v>
      </c>
      <c r="G245" s="3" t="s">
        <v>384</v>
      </c>
      <c r="H245" s="10" t="s">
        <v>10</v>
      </c>
      <c r="I245" s="3">
        <v>0</v>
      </c>
      <c r="J245" s="3" t="s">
        <v>169</v>
      </c>
      <c r="K245" s="3" t="s">
        <v>170</v>
      </c>
      <c r="L245" s="3">
        <v>26</v>
      </c>
      <c r="M245" s="3" t="s">
        <v>358</v>
      </c>
      <c r="N245" s="3" t="s">
        <v>52</v>
      </c>
    </row>
    <row r="246" spans="1:14" ht="28">
      <c r="A246" s="3" t="s">
        <v>1332</v>
      </c>
      <c r="B246" s="3" t="s">
        <v>1333</v>
      </c>
      <c r="C246" s="3" t="s">
        <v>1334</v>
      </c>
      <c r="D246" s="3" t="s">
        <v>1335</v>
      </c>
      <c r="E246" s="3" t="s">
        <v>1335</v>
      </c>
      <c r="F246" s="3" t="s">
        <v>368</v>
      </c>
      <c r="G246" s="3" t="s">
        <v>356</v>
      </c>
      <c r="H246" s="10" t="s">
        <v>6</v>
      </c>
      <c r="I246" s="3">
        <v>2</v>
      </c>
      <c r="J246" s="3" t="s">
        <v>357</v>
      </c>
      <c r="K246" s="3" t="s">
        <v>369</v>
      </c>
      <c r="L246" s="3">
        <v>52</v>
      </c>
      <c r="M246" s="3" t="s">
        <v>358</v>
      </c>
      <c r="N246" s="3" t="s">
        <v>52</v>
      </c>
    </row>
    <row r="247" spans="1:14">
      <c r="A247" s="3" t="s">
        <v>1336</v>
      </c>
      <c r="B247" s="3" t="s">
        <v>994</v>
      </c>
      <c r="C247" s="3" t="s">
        <v>1337</v>
      </c>
      <c r="D247" s="3" t="s">
        <v>1338</v>
      </c>
      <c r="E247" s="3" t="s">
        <v>1338</v>
      </c>
      <c r="F247" s="3" t="s">
        <v>734</v>
      </c>
      <c r="G247" s="3" t="s">
        <v>356</v>
      </c>
      <c r="H247" s="10" t="s">
        <v>10</v>
      </c>
      <c r="I247" s="3">
        <v>0</v>
      </c>
      <c r="J247" s="3" t="s">
        <v>357</v>
      </c>
      <c r="K247" s="3" t="s">
        <v>369</v>
      </c>
      <c r="L247" s="3">
        <v>91</v>
      </c>
      <c r="M247" s="3" t="s">
        <v>358</v>
      </c>
      <c r="N247" s="3" t="s">
        <v>52</v>
      </c>
    </row>
    <row r="248" spans="1:14" ht="28">
      <c r="A248" s="3" t="s">
        <v>1339</v>
      </c>
      <c r="B248" s="3" t="s">
        <v>1340</v>
      </c>
      <c r="C248" s="3" t="s">
        <v>1341</v>
      </c>
      <c r="D248" s="3" t="s">
        <v>1342</v>
      </c>
      <c r="E248" s="3" t="s">
        <v>1342</v>
      </c>
      <c r="F248" s="3" t="s">
        <v>148</v>
      </c>
      <c r="G248" s="3" t="s">
        <v>356</v>
      </c>
      <c r="H248" s="10" t="s">
        <v>6</v>
      </c>
      <c r="I248" s="3">
        <v>2</v>
      </c>
      <c r="J248" s="3" t="s">
        <v>357</v>
      </c>
      <c r="K248" s="3" t="s">
        <v>369</v>
      </c>
      <c r="L248" s="3">
        <v>51</v>
      </c>
      <c r="M248" s="3" t="s">
        <v>358</v>
      </c>
      <c r="N248" s="3" t="s">
        <v>52</v>
      </c>
    </row>
    <row r="249" spans="1:14" ht="28">
      <c r="A249" s="3" t="s">
        <v>1343</v>
      </c>
      <c r="B249" s="3" t="s">
        <v>1344</v>
      </c>
      <c r="C249" s="3" t="s">
        <v>1345</v>
      </c>
      <c r="D249" s="3" t="s">
        <v>1346</v>
      </c>
      <c r="E249" s="3" t="s">
        <v>1346</v>
      </c>
      <c r="F249" s="3" t="s">
        <v>1347</v>
      </c>
      <c r="G249" s="3" t="s">
        <v>384</v>
      </c>
      <c r="H249" s="10" t="s">
        <v>10</v>
      </c>
      <c r="I249" s="3">
        <v>0</v>
      </c>
      <c r="J249" s="3" t="s">
        <v>169</v>
      </c>
      <c r="K249" s="3" t="s">
        <v>369</v>
      </c>
      <c r="L249" s="3">
        <v>20</v>
      </c>
      <c r="M249" s="3" t="s">
        <v>358</v>
      </c>
      <c r="N249" s="3" t="s">
        <v>52</v>
      </c>
    </row>
    <row r="250" spans="1:14" ht="28">
      <c r="A250" s="3" t="s">
        <v>1348</v>
      </c>
      <c r="B250" s="3" t="s">
        <v>1349</v>
      </c>
      <c r="C250" s="3" t="s">
        <v>1350</v>
      </c>
      <c r="D250" s="3" t="s">
        <v>1351</v>
      </c>
      <c r="E250" s="3" t="s">
        <v>1351</v>
      </c>
      <c r="F250" s="3" t="s">
        <v>729</v>
      </c>
      <c r="G250" s="3" t="s">
        <v>356</v>
      </c>
      <c r="H250" s="10" t="s">
        <v>8</v>
      </c>
      <c r="I250" s="3">
        <v>1</v>
      </c>
      <c r="J250" s="3" t="s">
        <v>357</v>
      </c>
      <c r="K250" s="3" t="s">
        <v>369</v>
      </c>
      <c r="L250" s="3">
        <v>56</v>
      </c>
      <c r="M250" s="3" t="s">
        <v>358</v>
      </c>
      <c r="N250" s="3" t="s">
        <v>52</v>
      </c>
    </row>
    <row r="251" spans="1:14" ht="28">
      <c r="A251" s="3" t="s">
        <v>1352</v>
      </c>
      <c r="B251" s="3" t="s">
        <v>1353</v>
      </c>
      <c r="C251" s="3" t="s">
        <v>1354</v>
      </c>
      <c r="D251" s="3" t="s">
        <v>1355</v>
      </c>
      <c r="E251" s="3" t="s">
        <v>1355</v>
      </c>
      <c r="F251" s="3" t="s">
        <v>1356</v>
      </c>
      <c r="G251" s="3" t="s">
        <v>356</v>
      </c>
      <c r="H251" s="10" t="s">
        <v>10</v>
      </c>
      <c r="I251" s="3">
        <v>0</v>
      </c>
      <c r="J251" s="3" t="s">
        <v>357</v>
      </c>
      <c r="K251" s="3" t="s">
        <v>369</v>
      </c>
      <c r="L251" s="3">
        <v>142</v>
      </c>
      <c r="M251" s="3" t="s">
        <v>358</v>
      </c>
      <c r="N251" s="3" t="s">
        <v>52</v>
      </c>
    </row>
    <row r="252" spans="1:14">
      <c r="A252" s="3" t="s">
        <v>1357</v>
      </c>
      <c r="B252" s="3" t="s">
        <v>451</v>
      </c>
      <c r="C252" s="3" t="s">
        <v>1358</v>
      </c>
      <c r="D252" s="3" t="s">
        <v>1359</v>
      </c>
      <c r="E252" s="3" t="s">
        <v>1359</v>
      </c>
      <c r="F252" s="3" t="s">
        <v>1360</v>
      </c>
      <c r="G252" s="3" t="s">
        <v>356</v>
      </c>
      <c r="H252" s="10" t="s">
        <v>10</v>
      </c>
      <c r="I252" s="3">
        <v>0</v>
      </c>
      <c r="J252" s="3" t="s">
        <v>357</v>
      </c>
      <c r="K252" s="3" t="s">
        <v>369</v>
      </c>
      <c r="L252" s="3">
        <v>108</v>
      </c>
      <c r="M252" s="3" t="s">
        <v>358</v>
      </c>
      <c r="N252" s="3" t="s">
        <v>52</v>
      </c>
    </row>
    <row r="253" spans="1:14" ht="28">
      <c r="A253" s="3" t="s">
        <v>1361</v>
      </c>
      <c r="B253" s="3" t="s">
        <v>1362</v>
      </c>
      <c r="C253" s="3" t="s">
        <v>1363</v>
      </c>
      <c r="D253" s="3" t="s">
        <v>1364</v>
      </c>
      <c r="E253" s="3" t="s">
        <v>1364</v>
      </c>
      <c r="F253" s="3" t="s">
        <v>197</v>
      </c>
      <c r="G253" s="3" t="s">
        <v>356</v>
      </c>
      <c r="H253" s="10" t="s">
        <v>10</v>
      </c>
      <c r="I253" s="3">
        <v>0</v>
      </c>
      <c r="J253" s="3" t="s">
        <v>357</v>
      </c>
      <c r="K253" s="3" t="s">
        <v>170</v>
      </c>
      <c r="L253" s="3">
        <v>20</v>
      </c>
      <c r="M253" s="3" t="s">
        <v>358</v>
      </c>
      <c r="N253" s="3" t="s">
        <v>52</v>
      </c>
    </row>
    <row r="254" spans="1:14" ht="28">
      <c r="A254" s="3" t="s">
        <v>1365</v>
      </c>
      <c r="B254" s="3" t="s">
        <v>1018</v>
      </c>
      <c r="C254" s="3" t="s">
        <v>1366</v>
      </c>
      <c r="D254" s="3" t="s">
        <v>1367</v>
      </c>
      <c r="E254" s="3" t="s">
        <v>1367</v>
      </c>
      <c r="F254" s="3" t="s">
        <v>1368</v>
      </c>
      <c r="G254" s="3" t="s">
        <v>356</v>
      </c>
      <c r="H254" s="10" t="s">
        <v>6</v>
      </c>
      <c r="I254" s="3">
        <v>2</v>
      </c>
      <c r="J254" s="3" t="s">
        <v>357</v>
      </c>
      <c r="K254" s="3" t="s">
        <v>369</v>
      </c>
      <c r="L254" s="3">
        <v>46</v>
      </c>
      <c r="M254" s="3" t="s">
        <v>358</v>
      </c>
      <c r="N254" s="3" t="s">
        <v>52</v>
      </c>
    </row>
    <row r="255" spans="1:14">
      <c r="A255" s="3" t="s">
        <v>1369</v>
      </c>
      <c r="B255" s="3" t="s">
        <v>1370</v>
      </c>
      <c r="C255" s="3" t="s">
        <v>1371</v>
      </c>
      <c r="D255" s="3" t="s">
        <v>1372</v>
      </c>
      <c r="E255" s="3" t="s">
        <v>1372</v>
      </c>
      <c r="F255" s="3" t="s">
        <v>734</v>
      </c>
      <c r="G255" s="3" t="s">
        <v>356</v>
      </c>
      <c r="H255" s="10" t="s">
        <v>10</v>
      </c>
      <c r="I255" s="3">
        <v>0</v>
      </c>
      <c r="J255" s="3" t="s">
        <v>357</v>
      </c>
      <c r="K255" s="3" t="s">
        <v>369</v>
      </c>
      <c r="L255" s="3">
        <v>169</v>
      </c>
      <c r="M255" s="3" t="s">
        <v>358</v>
      </c>
      <c r="N255" s="3" t="s">
        <v>52</v>
      </c>
    </row>
    <row r="256" spans="1:14" ht="28">
      <c r="A256" s="3" t="s">
        <v>1373</v>
      </c>
      <c r="B256" s="3" t="s">
        <v>1374</v>
      </c>
      <c r="C256" s="3" t="s">
        <v>1375</v>
      </c>
      <c r="D256" s="3" t="s">
        <v>1376</v>
      </c>
      <c r="E256" s="3" t="s">
        <v>1376</v>
      </c>
      <c r="F256" s="3" t="s">
        <v>729</v>
      </c>
      <c r="G256" s="3" t="s">
        <v>356</v>
      </c>
      <c r="H256" s="10" t="s">
        <v>8</v>
      </c>
      <c r="I256" s="3">
        <v>1</v>
      </c>
      <c r="J256" s="3" t="s">
        <v>357</v>
      </c>
      <c r="K256" s="3" t="s">
        <v>369</v>
      </c>
      <c r="L256" s="3">
        <v>47</v>
      </c>
      <c r="M256" s="3" t="s">
        <v>358</v>
      </c>
      <c r="N256" s="3" t="s">
        <v>52</v>
      </c>
    </row>
    <row r="257" spans="1:14" ht="28">
      <c r="A257" s="3" t="s">
        <v>201</v>
      </c>
      <c r="B257" s="3" t="s">
        <v>202</v>
      </c>
      <c r="C257" s="3" t="s">
        <v>1377</v>
      </c>
      <c r="D257" s="3" t="s">
        <v>1378</v>
      </c>
      <c r="E257" s="3" t="s">
        <v>1378</v>
      </c>
      <c r="F257" s="3" t="s">
        <v>203</v>
      </c>
      <c r="G257" s="3" t="s">
        <v>384</v>
      </c>
      <c r="H257" s="10" t="s">
        <v>10</v>
      </c>
      <c r="I257" s="3">
        <v>0</v>
      </c>
      <c r="J257" s="3" t="s">
        <v>169</v>
      </c>
      <c r="K257" s="3" t="s">
        <v>170</v>
      </c>
      <c r="L257" s="3">
        <v>13</v>
      </c>
      <c r="M257" s="3" t="s">
        <v>358</v>
      </c>
      <c r="N257" s="3" t="s">
        <v>52</v>
      </c>
    </row>
    <row r="258" spans="1:14" ht="28">
      <c r="A258" s="3" t="s">
        <v>1379</v>
      </c>
      <c r="B258" s="3" t="s">
        <v>1380</v>
      </c>
      <c r="C258" s="3" t="s">
        <v>1381</v>
      </c>
      <c r="D258" s="3" t="s">
        <v>1382</v>
      </c>
      <c r="E258" s="3" t="s">
        <v>1382</v>
      </c>
      <c r="F258" s="3" t="s">
        <v>1383</v>
      </c>
      <c r="G258" s="3" t="s">
        <v>356</v>
      </c>
      <c r="H258" s="10" t="s">
        <v>10</v>
      </c>
      <c r="I258" s="3">
        <v>0</v>
      </c>
      <c r="J258" s="3" t="s">
        <v>357</v>
      </c>
      <c r="K258" s="3" t="s">
        <v>170</v>
      </c>
      <c r="L258" s="3">
        <v>28</v>
      </c>
      <c r="M258" s="3" t="s">
        <v>358</v>
      </c>
      <c r="N258" s="3" t="s">
        <v>52</v>
      </c>
    </row>
    <row r="259" spans="1:14" ht="28">
      <c r="A259" s="3" t="s">
        <v>1384</v>
      </c>
      <c r="B259" s="3" t="s">
        <v>1385</v>
      </c>
      <c r="C259" s="3" t="s">
        <v>1386</v>
      </c>
      <c r="D259" s="3" t="s">
        <v>1387</v>
      </c>
      <c r="E259" s="3" t="s">
        <v>1387</v>
      </c>
      <c r="F259" s="3" t="s">
        <v>588</v>
      </c>
      <c r="G259" s="3" t="s">
        <v>356</v>
      </c>
      <c r="H259" s="10" t="s">
        <v>8</v>
      </c>
      <c r="I259" s="3">
        <v>1</v>
      </c>
      <c r="J259" s="3" t="s">
        <v>357</v>
      </c>
      <c r="K259" s="3" t="s">
        <v>369</v>
      </c>
      <c r="L259" s="3">
        <v>166</v>
      </c>
      <c r="M259" s="3" t="s">
        <v>358</v>
      </c>
      <c r="N259" s="3" t="s">
        <v>52</v>
      </c>
    </row>
    <row r="260" spans="1:14" ht="28">
      <c r="A260" s="3" t="s">
        <v>1388</v>
      </c>
      <c r="B260" s="3" t="s">
        <v>1389</v>
      </c>
      <c r="C260" s="3" t="s">
        <v>1390</v>
      </c>
      <c r="D260" s="3" t="s">
        <v>1391</v>
      </c>
      <c r="E260" s="3" t="s">
        <v>1391</v>
      </c>
      <c r="F260" s="3" t="s">
        <v>1392</v>
      </c>
      <c r="G260" s="3" t="s">
        <v>356</v>
      </c>
      <c r="H260" s="10" t="s">
        <v>10</v>
      </c>
      <c r="I260" s="3">
        <v>0</v>
      </c>
      <c r="J260" s="3" t="s">
        <v>357</v>
      </c>
      <c r="K260" s="3" t="s">
        <v>369</v>
      </c>
      <c r="L260" s="3">
        <v>151</v>
      </c>
      <c r="M260" s="3" t="s">
        <v>358</v>
      </c>
      <c r="N260" s="3" t="s">
        <v>52</v>
      </c>
    </row>
    <row r="261" spans="1:14">
      <c r="A261" s="3" t="s">
        <v>189</v>
      </c>
      <c r="B261" s="3" t="s">
        <v>190</v>
      </c>
      <c r="C261" s="3" t="s">
        <v>1393</v>
      </c>
      <c r="D261" s="3" t="s">
        <v>1394</v>
      </c>
      <c r="E261" s="3" t="s">
        <v>1394</v>
      </c>
      <c r="F261" s="3" t="s">
        <v>191</v>
      </c>
      <c r="G261" s="3" t="s">
        <v>384</v>
      </c>
      <c r="H261" s="10" t="s">
        <v>10</v>
      </c>
      <c r="I261" s="3">
        <v>0</v>
      </c>
      <c r="J261" s="3" t="s">
        <v>169</v>
      </c>
      <c r="K261" s="3" t="s">
        <v>170</v>
      </c>
      <c r="L261" s="3">
        <v>9</v>
      </c>
      <c r="M261" s="3" t="s">
        <v>358</v>
      </c>
      <c r="N261" s="3" t="s">
        <v>52</v>
      </c>
    </row>
    <row r="262" spans="1:14">
      <c r="A262" s="3" t="s">
        <v>1395</v>
      </c>
      <c r="B262" s="3" t="s">
        <v>939</v>
      </c>
      <c r="C262" s="3" t="s">
        <v>1396</v>
      </c>
      <c r="D262" s="3" t="s">
        <v>1397</v>
      </c>
      <c r="E262" s="3" t="s">
        <v>1397</v>
      </c>
      <c r="F262" s="3" t="s">
        <v>734</v>
      </c>
      <c r="G262" s="3" t="s">
        <v>356</v>
      </c>
      <c r="H262" s="10" t="s">
        <v>10</v>
      </c>
      <c r="I262" s="3">
        <v>0</v>
      </c>
      <c r="J262" s="3" t="s">
        <v>357</v>
      </c>
      <c r="K262" s="3" t="s">
        <v>369</v>
      </c>
      <c r="L262" s="3">
        <v>189</v>
      </c>
      <c r="M262" s="3" t="s">
        <v>358</v>
      </c>
      <c r="N262" s="3" t="s">
        <v>52</v>
      </c>
    </row>
    <row r="263" spans="1:14" ht="28">
      <c r="A263" s="3" t="s">
        <v>1398</v>
      </c>
      <c r="B263" s="3" t="s">
        <v>1399</v>
      </c>
      <c r="C263" s="3" t="s">
        <v>1400</v>
      </c>
      <c r="D263" s="3" t="s">
        <v>1401</v>
      </c>
      <c r="E263" s="3" t="s">
        <v>1401</v>
      </c>
      <c r="F263" s="3" t="s">
        <v>1402</v>
      </c>
      <c r="G263" s="3" t="s">
        <v>356</v>
      </c>
      <c r="H263" s="10" t="s">
        <v>10</v>
      </c>
      <c r="I263" s="3">
        <v>0</v>
      </c>
      <c r="J263" s="3" t="s">
        <v>357</v>
      </c>
      <c r="K263" s="3" t="s">
        <v>369</v>
      </c>
      <c r="L263" s="3">
        <v>159</v>
      </c>
      <c r="M263" s="3" t="s">
        <v>358</v>
      </c>
      <c r="N263" s="3" t="s">
        <v>52</v>
      </c>
    </row>
    <row r="264" spans="1:14" ht="28">
      <c r="A264" s="3" t="s">
        <v>1403</v>
      </c>
      <c r="B264" s="3" t="s">
        <v>1404</v>
      </c>
      <c r="C264" s="3" t="s">
        <v>1405</v>
      </c>
      <c r="D264" s="3" t="s">
        <v>1406</v>
      </c>
      <c r="E264" s="3" t="s">
        <v>1406</v>
      </c>
      <c r="F264" s="3" t="s">
        <v>197</v>
      </c>
      <c r="G264" s="3" t="s">
        <v>356</v>
      </c>
      <c r="H264" s="10" t="s">
        <v>10</v>
      </c>
      <c r="I264" s="3">
        <v>0</v>
      </c>
      <c r="J264" s="3" t="s">
        <v>357</v>
      </c>
      <c r="K264" s="3" t="s">
        <v>170</v>
      </c>
      <c r="L264" s="3">
        <v>22</v>
      </c>
      <c r="M264" s="3" t="s">
        <v>358</v>
      </c>
      <c r="N264" s="3" t="s">
        <v>52</v>
      </c>
    </row>
    <row r="265" spans="1:14" ht="28">
      <c r="A265" s="3" t="s">
        <v>1407</v>
      </c>
      <c r="B265" s="3" t="s">
        <v>451</v>
      </c>
      <c r="C265" s="3" t="s">
        <v>1408</v>
      </c>
      <c r="D265" s="3" t="s">
        <v>1409</v>
      </c>
      <c r="E265" s="3" t="s">
        <v>1409</v>
      </c>
      <c r="F265" s="3" t="s">
        <v>1064</v>
      </c>
      <c r="G265" s="3" t="s">
        <v>356</v>
      </c>
      <c r="H265" s="10" t="s">
        <v>6</v>
      </c>
      <c r="I265" s="3">
        <v>2</v>
      </c>
      <c r="J265" s="3" t="s">
        <v>357</v>
      </c>
      <c r="K265" s="3" t="s">
        <v>369</v>
      </c>
      <c r="L265" s="3">
        <v>116</v>
      </c>
      <c r="M265" s="3" t="s">
        <v>358</v>
      </c>
      <c r="N265" s="3" t="s">
        <v>52</v>
      </c>
    </row>
    <row r="266" spans="1:14" ht="28">
      <c r="A266" s="3" t="s">
        <v>1410</v>
      </c>
      <c r="B266" s="3" t="s">
        <v>1142</v>
      </c>
      <c r="C266" s="3" t="s">
        <v>1411</v>
      </c>
      <c r="D266" s="3" t="s">
        <v>1412</v>
      </c>
      <c r="E266" s="3" t="s">
        <v>1412</v>
      </c>
      <c r="F266" s="3" t="s">
        <v>389</v>
      </c>
      <c r="G266" s="3" t="s">
        <v>356</v>
      </c>
      <c r="H266" s="10" t="s">
        <v>10</v>
      </c>
      <c r="I266" s="3">
        <v>0</v>
      </c>
      <c r="J266" s="3" t="s">
        <v>357</v>
      </c>
      <c r="K266" s="3" t="s">
        <v>369</v>
      </c>
      <c r="L266" s="3">
        <v>180</v>
      </c>
      <c r="M266" s="3" t="s">
        <v>358</v>
      </c>
      <c r="N266" s="3" t="s">
        <v>52</v>
      </c>
    </row>
    <row r="267" spans="1:14" ht="28">
      <c r="A267" s="3" t="s">
        <v>1413</v>
      </c>
      <c r="B267" s="3" t="s">
        <v>196</v>
      </c>
      <c r="C267" s="3" t="s">
        <v>1414</v>
      </c>
      <c r="D267" s="3" t="s">
        <v>1415</v>
      </c>
      <c r="E267" s="3" t="s">
        <v>1415</v>
      </c>
      <c r="F267" s="3" t="s">
        <v>197</v>
      </c>
      <c r="G267" s="3" t="s">
        <v>356</v>
      </c>
      <c r="H267" s="10" t="s">
        <v>10</v>
      </c>
      <c r="I267" s="3">
        <v>0</v>
      </c>
      <c r="J267" s="3" t="s">
        <v>357</v>
      </c>
      <c r="K267" s="3" t="s">
        <v>170</v>
      </c>
      <c r="L267" s="3">
        <v>3</v>
      </c>
      <c r="M267" s="3" t="s">
        <v>358</v>
      </c>
      <c r="N267" s="3" t="s">
        <v>52</v>
      </c>
    </row>
    <row r="268" spans="1:14">
      <c r="A268" s="3" t="s">
        <v>1416</v>
      </c>
      <c r="B268" s="3" t="s">
        <v>1417</v>
      </c>
      <c r="C268" s="3" t="s">
        <v>1418</v>
      </c>
      <c r="D268" s="3" t="s">
        <v>1419</v>
      </c>
      <c r="E268" s="3" t="s">
        <v>1419</v>
      </c>
      <c r="F268" s="3" t="s">
        <v>1420</v>
      </c>
      <c r="G268" s="3" t="s">
        <v>356</v>
      </c>
      <c r="H268" s="10" t="s">
        <v>10</v>
      </c>
      <c r="I268" s="3">
        <v>0</v>
      </c>
      <c r="J268" s="3" t="s">
        <v>357</v>
      </c>
      <c r="K268" s="3" t="s">
        <v>170</v>
      </c>
      <c r="L268" s="3">
        <v>26</v>
      </c>
      <c r="M268" s="3" t="s">
        <v>358</v>
      </c>
      <c r="N268" s="3" t="s">
        <v>52</v>
      </c>
    </row>
    <row r="269" spans="1:14">
      <c r="A269" s="3" t="s">
        <v>1421</v>
      </c>
      <c r="B269" s="3" t="s">
        <v>596</v>
      </c>
      <c r="C269" s="3" t="s">
        <v>1422</v>
      </c>
      <c r="D269" s="3" t="s">
        <v>1423</v>
      </c>
      <c r="E269" s="3" t="s">
        <v>1423</v>
      </c>
      <c r="F269" s="3" t="s">
        <v>1424</v>
      </c>
      <c r="G269" s="3" t="s">
        <v>356</v>
      </c>
      <c r="H269" s="10" t="s">
        <v>10</v>
      </c>
      <c r="I269" s="3">
        <v>0</v>
      </c>
      <c r="J269" s="3" t="s">
        <v>357</v>
      </c>
      <c r="K269" s="3" t="s">
        <v>369</v>
      </c>
      <c r="L269" s="3">
        <v>67</v>
      </c>
      <c r="M269" s="3" t="s">
        <v>358</v>
      </c>
      <c r="N269" s="3" t="s">
        <v>52</v>
      </c>
    </row>
    <row r="270" spans="1:14">
      <c r="A270" s="3" t="s">
        <v>218</v>
      </c>
      <c r="B270" s="3" t="s">
        <v>219</v>
      </c>
      <c r="C270" s="3" t="s">
        <v>1425</v>
      </c>
      <c r="D270" s="3" t="s">
        <v>1426</v>
      </c>
      <c r="E270" s="3" t="s">
        <v>1426</v>
      </c>
      <c r="F270" s="3" t="s">
        <v>220</v>
      </c>
      <c r="G270" s="3" t="s">
        <v>384</v>
      </c>
      <c r="H270" s="10" t="s">
        <v>10</v>
      </c>
      <c r="I270" s="3">
        <v>0</v>
      </c>
      <c r="J270" s="3" t="s">
        <v>169</v>
      </c>
      <c r="K270" s="3" t="s">
        <v>170</v>
      </c>
      <c r="L270" s="3">
        <v>19</v>
      </c>
      <c r="M270" s="3" t="s">
        <v>358</v>
      </c>
      <c r="N270" s="3" t="s">
        <v>52</v>
      </c>
    </row>
    <row r="271" spans="1:14" ht="28">
      <c r="A271" s="3" t="s">
        <v>1427</v>
      </c>
      <c r="B271" s="3" t="s">
        <v>1428</v>
      </c>
      <c r="C271" s="3" t="s">
        <v>1429</v>
      </c>
      <c r="D271" s="3" t="s">
        <v>1430</v>
      </c>
      <c r="E271" s="3" t="s">
        <v>1430</v>
      </c>
      <c r="F271" s="3" t="s">
        <v>368</v>
      </c>
      <c r="G271" s="3" t="s">
        <v>356</v>
      </c>
      <c r="H271" s="10" t="s">
        <v>6</v>
      </c>
      <c r="I271" s="3">
        <v>2</v>
      </c>
      <c r="J271" s="3" t="s">
        <v>357</v>
      </c>
      <c r="K271" s="3" t="s">
        <v>369</v>
      </c>
      <c r="L271" s="3">
        <v>16</v>
      </c>
      <c r="M271" s="3" t="s">
        <v>358</v>
      </c>
      <c r="N271" s="3" t="s">
        <v>52</v>
      </c>
    </row>
    <row r="272" spans="1:14" ht="28">
      <c r="A272" s="3" t="s">
        <v>1431</v>
      </c>
      <c r="B272" s="3" t="s">
        <v>1432</v>
      </c>
      <c r="C272" s="3" t="s">
        <v>1433</v>
      </c>
      <c r="D272" s="3" t="s">
        <v>1434</v>
      </c>
      <c r="E272" s="3" t="s">
        <v>1434</v>
      </c>
      <c r="F272" s="3" t="s">
        <v>1435</v>
      </c>
      <c r="G272" s="3" t="s">
        <v>356</v>
      </c>
      <c r="H272" s="10" t="s">
        <v>6</v>
      </c>
      <c r="I272" s="3">
        <v>2</v>
      </c>
      <c r="J272" s="3" t="s">
        <v>357</v>
      </c>
      <c r="K272" s="3" t="s">
        <v>369</v>
      </c>
      <c r="L272" s="3">
        <v>43</v>
      </c>
      <c r="M272" s="3" t="s">
        <v>358</v>
      </c>
      <c r="N272" s="3" t="s">
        <v>52</v>
      </c>
    </row>
    <row r="273" spans="1:14" ht="28">
      <c r="A273" s="3" t="s">
        <v>1436</v>
      </c>
      <c r="B273" s="3" t="s">
        <v>1437</v>
      </c>
      <c r="C273" s="3" t="s">
        <v>1438</v>
      </c>
      <c r="D273" s="3" t="s">
        <v>1439</v>
      </c>
      <c r="E273" s="3" t="s">
        <v>1439</v>
      </c>
      <c r="F273" s="3" t="s">
        <v>1440</v>
      </c>
      <c r="G273" s="3" t="s">
        <v>356</v>
      </c>
      <c r="H273" s="10" t="s">
        <v>10</v>
      </c>
      <c r="I273" s="3">
        <v>0</v>
      </c>
      <c r="J273" s="3" t="s">
        <v>357</v>
      </c>
      <c r="K273" s="3" t="s">
        <v>369</v>
      </c>
      <c r="L273" s="3">
        <v>80</v>
      </c>
      <c r="M273" s="3" t="s">
        <v>358</v>
      </c>
      <c r="N273" s="3" t="s">
        <v>52</v>
      </c>
    </row>
    <row r="274" spans="1:14" ht="28">
      <c r="A274" s="3" t="s">
        <v>1441</v>
      </c>
      <c r="B274" s="3" t="s">
        <v>1442</v>
      </c>
      <c r="C274" s="3" t="s">
        <v>1443</v>
      </c>
      <c r="D274" s="3" t="s">
        <v>1444</v>
      </c>
      <c r="E274" s="3" t="s">
        <v>1444</v>
      </c>
      <c r="F274" s="3" t="s">
        <v>588</v>
      </c>
      <c r="G274" s="3" t="s">
        <v>356</v>
      </c>
      <c r="H274" s="10" t="s">
        <v>8</v>
      </c>
      <c r="I274" s="3">
        <v>1</v>
      </c>
      <c r="J274" s="3" t="s">
        <v>357</v>
      </c>
      <c r="K274" s="3" t="s">
        <v>369</v>
      </c>
      <c r="L274" s="3">
        <v>26</v>
      </c>
      <c r="M274" s="3" t="s">
        <v>358</v>
      </c>
      <c r="N274" s="3" t="s">
        <v>52</v>
      </c>
    </row>
    <row r="275" spans="1:14">
      <c r="A275" s="3" t="s">
        <v>1445</v>
      </c>
      <c r="B275" s="3" t="s">
        <v>1446</v>
      </c>
      <c r="C275" s="3" t="s">
        <v>1447</v>
      </c>
      <c r="D275" s="3" t="s">
        <v>1448</v>
      </c>
      <c r="E275" s="3" t="s">
        <v>1448</v>
      </c>
      <c r="F275" s="3" t="s">
        <v>1449</v>
      </c>
      <c r="G275" s="3" t="s">
        <v>384</v>
      </c>
      <c r="H275" s="10" t="s">
        <v>10</v>
      </c>
      <c r="I275" s="3">
        <v>0</v>
      </c>
      <c r="J275" s="3" t="s">
        <v>169</v>
      </c>
      <c r="K275" s="3" t="s">
        <v>369</v>
      </c>
      <c r="L275" s="3">
        <v>6</v>
      </c>
      <c r="M275" s="3" t="s">
        <v>358</v>
      </c>
      <c r="N275" s="3" t="s">
        <v>52</v>
      </c>
    </row>
    <row r="276" spans="1:14">
      <c r="A276" s="3" t="s">
        <v>1450</v>
      </c>
      <c r="B276" s="3" t="s">
        <v>1451</v>
      </c>
      <c r="C276" s="3" t="s">
        <v>1452</v>
      </c>
      <c r="D276" s="3" t="s">
        <v>1453</v>
      </c>
      <c r="E276" s="3" t="s">
        <v>1453</v>
      </c>
      <c r="F276" s="3" t="s">
        <v>1454</v>
      </c>
      <c r="G276" s="3" t="s">
        <v>356</v>
      </c>
      <c r="H276" s="10" t="s">
        <v>10</v>
      </c>
      <c r="I276" s="3">
        <v>0</v>
      </c>
      <c r="J276" s="3" t="s">
        <v>357</v>
      </c>
      <c r="K276" s="3" t="s">
        <v>369</v>
      </c>
      <c r="L276" s="3">
        <v>134</v>
      </c>
      <c r="M276" s="3" t="s">
        <v>358</v>
      </c>
      <c r="N276" s="3" t="s">
        <v>52</v>
      </c>
    </row>
    <row r="277" spans="1:14" ht="28">
      <c r="A277" s="3" t="s">
        <v>1455</v>
      </c>
      <c r="B277" s="3" t="s">
        <v>1370</v>
      </c>
      <c r="C277" s="3" t="s">
        <v>1456</v>
      </c>
      <c r="D277" s="3" t="s">
        <v>1457</v>
      </c>
      <c r="E277" s="3" t="s">
        <v>1457</v>
      </c>
      <c r="F277" s="3" t="s">
        <v>389</v>
      </c>
      <c r="G277" s="3" t="s">
        <v>356</v>
      </c>
      <c r="H277" s="10" t="s">
        <v>10</v>
      </c>
      <c r="I277" s="3">
        <v>0</v>
      </c>
      <c r="J277" s="3" t="s">
        <v>357</v>
      </c>
      <c r="K277" s="3" t="s">
        <v>369</v>
      </c>
      <c r="L277" s="3">
        <v>170</v>
      </c>
      <c r="M277" s="3" t="s">
        <v>358</v>
      </c>
      <c r="N277" s="3" t="s">
        <v>52</v>
      </c>
    </row>
    <row r="278" spans="1:14">
      <c r="A278" s="3" t="s">
        <v>1458</v>
      </c>
      <c r="B278" s="3" t="s">
        <v>426</v>
      </c>
      <c r="C278" s="3" t="s">
        <v>1459</v>
      </c>
      <c r="D278" s="3" t="s">
        <v>1460</v>
      </c>
      <c r="E278" s="3" t="s">
        <v>1460</v>
      </c>
      <c r="F278" s="3" t="s">
        <v>1461</v>
      </c>
      <c r="G278" s="3" t="s">
        <v>356</v>
      </c>
      <c r="H278" s="10" t="s">
        <v>10</v>
      </c>
      <c r="I278" s="3">
        <v>0</v>
      </c>
      <c r="J278" s="3" t="s">
        <v>357</v>
      </c>
      <c r="K278" s="3" t="s">
        <v>369</v>
      </c>
      <c r="L278" s="3">
        <v>122</v>
      </c>
      <c r="M278" s="3" t="s">
        <v>358</v>
      </c>
      <c r="N278" s="3" t="s">
        <v>52</v>
      </c>
    </row>
    <row r="279" spans="1:14" ht="28">
      <c r="A279" s="3" t="s">
        <v>316</v>
      </c>
      <c r="B279" s="3" t="s">
        <v>317</v>
      </c>
      <c r="C279" s="3" t="s">
        <v>1462</v>
      </c>
      <c r="D279" s="3" t="s">
        <v>1463</v>
      </c>
      <c r="E279" s="3" t="s">
        <v>1463</v>
      </c>
      <c r="F279" s="3" t="s">
        <v>318</v>
      </c>
      <c r="G279" s="3" t="s">
        <v>384</v>
      </c>
      <c r="H279" s="10" t="s">
        <v>10</v>
      </c>
      <c r="I279" s="3">
        <v>0</v>
      </c>
      <c r="J279" s="3" t="s">
        <v>169</v>
      </c>
      <c r="K279" s="3" t="s">
        <v>170</v>
      </c>
      <c r="L279" s="3">
        <v>52</v>
      </c>
      <c r="M279" s="3" t="s">
        <v>358</v>
      </c>
      <c r="N279" s="3" t="s">
        <v>52</v>
      </c>
    </row>
    <row r="280" spans="1:14" ht="28">
      <c r="A280" s="3" t="s">
        <v>1464</v>
      </c>
      <c r="B280" s="3" t="s">
        <v>1465</v>
      </c>
      <c r="C280" s="3" t="s">
        <v>1466</v>
      </c>
      <c r="D280" s="3" t="s">
        <v>1467</v>
      </c>
      <c r="E280" s="3" t="s">
        <v>1467</v>
      </c>
      <c r="F280" s="3" t="s">
        <v>1468</v>
      </c>
      <c r="G280" s="3" t="s">
        <v>384</v>
      </c>
      <c r="H280" s="10" t="s">
        <v>10</v>
      </c>
      <c r="I280" s="3">
        <v>0</v>
      </c>
      <c r="J280" s="3" t="s">
        <v>169</v>
      </c>
      <c r="K280" s="3" t="s">
        <v>369</v>
      </c>
      <c r="L280" s="3">
        <v>29</v>
      </c>
      <c r="M280" s="3" t="s">
        <v>358</v>
      </c>
      <c r="N280" s="3" t="s">
        <v>52</v>
      </c>
    </row>
    <row r="281" spans="1:14" ht="28">
      <c r="A281" s="3" t="s">
        <v>1469</v>
      </c>
      <c r="B281" s="3" t="s">
        <v>167</v>
      </c>
      <c r="C281" s="3" t="s">
        <v>1470</v>
      </c>
      <c r="D281" s="3" t="s">
        <v>1471</v>
      </c>
      <c r="E281" s="3" t="s">
        <v>1471</v>
      </c>
      <c r="F281" s="3" t="s">
        <v>1472</v>
      </c>
      <c r="G281" s="3" t="s">
        <v>356</v>
      </c>
      <c r="H281" s="10" t="s">
        <v>10</v>
      </c>
      <c r="I281" s="3">
        <v>0</v>
      </c>
      <c r="J281" s="3" t="s">
        <v>357</v>
      </c>
      <c r="K281" s="3" t="s">
        <v>170</v>
      </c>
      <c r="L281" s="3">
        <v>31</v>
      </c>
      <c r="M281" s="3" t="s">
        <v>358</v>
      </c>
      <c r="N281" s="3" t="s">
        <v>52</v>
      </c>
    </row>
    <row r="282" spans="1:14" ht="28">
      <c r="A282" s="3" t="s">
        <v>1473</v>
      </c>
      <c r="B282" s="3" t="s">
        <v>1474</v>
      </c>
      <c r="C282" s="3" t="s">
        <v>1475</v>
      </c>
      <c r="D282" s="3" t="s">
        <v>1476</v>
      </c>
      <c r="E282" s="3" t="s">
        <v>1476</v>
      </c>
      <c r="F282" s="3" t="s">
        <v>1477</v>
      </c>
      <c r="G282" s="3" t="s">
        <v>356</v>
      </c>
      <c r="H282" s="10" t="s">
        <v>10</v>
      </c>
      <c r="I282" s="3">
        <v>0</v>
      </c>
      <c r="J282" s="3" t="s">
        <v>357</v>
      </c>
      <c r="K282" s="3" t="s">
        <v>369</v>
      </c>
      <c r="L282" s="3">
        <v>165</v>
      </c>
      <c r="M282" s="3" t="s">
        <v>358</v>
      </c>
      <c r="N282" s="3" t="s">
        <v>52</v>
      </c>
    </row>
    <row r="283" spans="1:14" ht="28">
      <c r="A283" s="3" t="s">
        <v>1478</v>
      </c>
      <c r="B283" s="3" t="s">
        <v>378</v>
      </c>
      <c r="C283" s="3" t="s">
        <v>1479</v>
      </c>
      <c r="D283" s="3" t="s">
        <v>1480</v>
      </c>
      <c r="E283" s="3" t="s">
        <v>1480</v>
      </c>
      <c r="F283" s="3" t="s">
        <v>1481</v>
      </c>
      <c r="G283" s="3" t="s">
        <v>356</v>
      </c>
      <c r="H283" s="10" t="s">
        <v>10</v>
      </c>
      <c r="I283" s="3">
        <v>0</v>
      </c>
      <c r="J283" s="3" t="s">
        <v>357</v>
      </c>
      <c r="K283" s="3" t="s">
        <v>369</v>
      </c>
      <c r="L283" s="3">
        <v>78</v>
      </c>
      <c r="M283" s="3" t="s">
        <v>358</v>
      </c>
      <c r="N283" s="3" t="s">
        <v>52</v>
      </c>
    </row>
    <row r="284" spans="1:14">
      <c r="A284" s="3" t="s">
        <v>183</v>
      </c>
      <c r="B284" s="3" t="s">
        <v>184</v>
      </c>
      <c r="C284" s="3" t="s">
        <v>1482</v>
      </c>
      <c r="D284" s="3" t="s">
        <v>1483</v>
      </c>
      <c r="E284" s="3" t="s">
        <v>1483</v>
      </c>
      <c r="F284" s="3" t="s">
        <v>185</v>
      </c>
      <c r="G284" s="3" t="s">
        <v>384</v>
      </c>
      <c r="H284" s="10" t="s">
        <v>10</v>
      </c>
      <c r="I284" s="3">
        <v>0</v>
      </c>
      <c r="J284" s="3" t="s">
        <v>169</v>
      </c>
      <c r="K284" s="3" t="s">
        <v>170</v>
      </c>
      <c r="L284" s="3">
        <v>7</v>
      </c>
      <c r="M284" s="3" t="s">
        <v>358</v>
      </c>
      <c r="N284" s="3" t="s">
        <v>52</v>
      </c>
    </row>
    <row r="285" spans="1:14">
      <c r="A285" s="3" t="s">
        <v>1484</v>
      </c>
      <c r="B285" s="3" t="s">
        <v>1485</v>
      </c>
      <c r="C285" s="3" t="s">
        <v>1486</v>
      </c>
      <c r="D285" s="3" t="s">
        <v>1487</v>
      </c>
      <c r="E285" s="3" t="s">
        <v>1487</v>
      </c>
      <c r="F285" s="3" t="s">
        <v>1488</v>
      </c>
      <c r="G285" s="3" t="s">
        <v>384</v>
      </c>
      <c r="H285" s="10" t="s">
        <v>10</v>
      </c>
      <c r="I285" s="3">
        <v>0</v>
      </c>
      <c r="J285" s="3" t="s">
        <v>169</v>
      </c>
      <c r="K285" s="3" t="s">
        <v>369</v>
      </c>
      <c r="L285" s="3">
        <v>26</v>
      </c>
      <c r="M285" s="3" t="s">
        <v>358</v>
      </c>
      <c r="N285" s="3" t="s">
        <v>52</v>
      </c>
    </row>
    <row r="286" spans="1:14" ht="28">
      <c r="A286" s="3" t="s">
        <v>1489</v>
      </c>
      <c r="B286" s="3" t="s">
        <v>331</v>
      </c>
      <c r="C286" s="3" t="s">
        <v>1490</v>
      </c>
      <c r="D286" s="3" t="s">
        <v>1491</v>
      </c>
      <c r="E286" s="3" t="s">
        <v>1491</v>
      </c>
      <c r="F286" s="3" t="s">
        <v>332</v>
      </c>
      <c r="G286" s="3" t="s">
        <v>356</v>
      </c>
      <c r="H286" s="10" t="s">
        <v>10</v>
      </c>
      <c r="I286" s="3">
        <v>0</v>
      </c>
      <c r="J286" s="3" t="s">
        <v>357</v>
      </c>
      <c r="K286" s="3" t="s">
        <v>170</v>
      </c>
      <c r="L286" s="3">
        <v>38</v>
      </c>
      <c r="M286" s="3" t="s">
        <v>358</v>
      </c>
      <c r="N286" s="3" t="s">
        <v>52</v>
      </c>
    </row>
    <row r="287" spans="1:14" ht="28">
      <c r="A287" s="3" t="s">
        <v>1492</v>
      </c>
      <c r="B287" s="3" t="s">
        <v>1493</v>
      </c>
      <c r="C287" s="3" t="s">
        <v>1494</v>
      </c>
      <c r="D287" s="3" t="s">
        <v>1495</v>
      </c>
      <c r="E287" s="3" t="s">
        <v>1495</v>
      </c>
      <c r="F287" s="3" t="s">
        <v>1496</v>
      </c>
      <c r="G287" s="3" t="s">
        <v>356</v>
      </c>
      <c r="H287" s="10" t="s">
        <v>10</v>
      </c>
      <c r="I287" s="3">
        <v>0</v>
      </c>
      <c r="J287" s="3" t="s">
        <v>357</v>
      </c>
      <c r="K287" s="3" t="s">
        <v>170</v>
      </c>
      <c r="L287" s="3">
        <v>11</v>
      </c>
      <c r="M287" s="3" t="s">
        <v>358</v>
      </c>
      <c r="N287" s="3" t="s">
        <v>52</v>
      </c>
    </row>
    <row r="288" spans="1:14" ht="28">
      <c r="A288" s="3" t="s">
        <v>333</v>
      </c>
      <c r="B288" s="3" t="s">
        <v>334</v>
      </c>
      <c r="C288" s="3" t="s">
        <v>1497</v>
      </c>
      <c r="D288" s="3" t="s">
        <v>1498</v>
      </c>
      <c r="E288" s="3" t="s">
        <v>1498</v>
      </c>
      <c r="F288" s="3" t="s">
        <v>335</v>
      </c>
      <c r="G288" s="3" t="s">
        <v>384</v>
      </c>
      <c r="H288" s="10" t="s">
        <v>10</v>
      </c>
      <c r="I288" s="3">
        <v>0</v>
      </c>
      <c r="J288" s="3" t="s">
        <v>169</v>
      </c>
      <c r="K288" s="3" t="s">
        <v>170</v>
      </c>
      <c r="L288" s="3">
        <v>58</v>
      </c>
      <c r="M288" s="3" t="s">
        <v>358</v>
      </c>
      <c r="N288" s="3" t="s">
        <v>52</v>
      </c>
    </row>
    <row r="289" spans="1:14" ht="28">
      <c r="A289" s="3" t="s">
        <v>1499</v>
      </c>
      <c r="B289" s="3" t="s">
        <v>1500</v>
      </c>
      <c r="C289" s="3" t="s">
        <v>1501</v>
      </c>
      <c r="D289" s="3" t="s">
        <v>1502</v>
      </c>
      <c r="E289" s="3" t="s">
        <v>1502</v>
      </c>
      <c r="F289" s="3" t="s">
        <v>588</v>
      </c>
      <c r="G289" s="3" t="s">
        <v>356</v>
      </c>
      <c r="H289" s="10" t="s">
        <v>8</v>
      </c>
      <c r="I289" s="3">
        <v>1</v>
      </c>
      <c r="J289" s="3" t="s">
        <v>357</v>
      </c>
      <c r="K289" s="3" t="s">
        <v>369</v>
      </c>
      <c r="L289" s="3">
        <v>19</v>
      </c>
      <c r="M289" s="3" t="s">
        <v>358</v>
      </c>
      <c r="N289" s="3" t="s">
        <v>52</v>
      </c>
    </row>
    <row r="290" spans="1:14" ht="28">
      <c r="A290" s="3" t="s">
        <v>1503</v>
      </c>
      <c r="B290" s="3" t="s">
        <v>480</v>
      </c>
      <c r="C290" s="3" t="s">
        <v>1504</v>
      </c>
      <c r="D290" s="3" t="s">
        <v>1505</v>
      </c>
      <c r="E290" s="3" t="s">
        <v>1505</v>
      </c>
      <c r="F290" s="3" t="s">
        <v>1506</v>
      </c>
      <c r="G290" s="3" t="s">
        <v>356</v>
      </c>
      <c r="H290" s="10" t="s">
        <v>8</v>
      </c>
      <c r="I290" s="3">
        <v>1</v>
      </c>
      <c r="J290" s="3" t="s">
        <v>357</v>
      </c>
      <c r="K290" s="3" t="s">
        <v>369</v>
      </c>
      <c r="L290" s="3">
        <v>97</v>
      </c>
      <c r="M290" s="3" t="s">
        <v>358</v>
      </c>
      <c r="N290" s="3" t="s">
        <v>52</v>
      </c>
    </row>
    <row r="291" spans="1:14" ht="28">
      <c r="A291" s="3" t="s">
        <v>1507</v>
      </c>
      <c r="B291" s="3" t="s">
        <v>1508</v>
      </c>
      <c r="C291" s="3" t="s">
        <v>1509</v>
      </c>
      <c r="D291" s="3" t="s">
        <v>1510</v>
      </c>
      <c r="E291" s="3" t="s">
        <v>1510</v>
      </c>
      <c r="F291" s="3" t="s">
        <v>1511</v>
      </c>
      <c r="G291" s="3" t="s">
        <v>356</v>
      </c>
      <c r="H291" s="10" t="s">
        <v>10</v>
      </c>
      <c r="I291" s="3">
        <v>0</v>
      </c>
      <c r="J291" s="3" t="s">
        <v>357</v>
      </c>
      <c r="K291" s="3" t="s">
        <v>170</v>
      </c>
      <c r="L291" s="3">
        <v>41</v>
      </c>
      <c r="M291" s="3" t="s">
        <v>358</v>
      </c>
      <c r="N291" s="3" t="s">
        <v>52</v>
      </c>
    </row>
    <row r="292" spans="1:14">
      <c r="A292" s="3" t="s">
        <v>1512</v>
      </c>
      <c r="B292" s="3" t="s">
        <v>291</v>
      </c>
      <c r="C292" s="3" t="s">
        <v>1513</v>
      </c>
      <c r="D292" s="3" t="s">
        <v>1514</v>
      </c>
      <c r="E292" s="3" t="s">
        <v>1514</v>
      </c>
      <c r="F292" s="3" t="s">
        <v>1515</v>
      </c>
      <c r="G292" s="3" t="s">
        <v>356</v>
      </c>
      <c r="H292" s="10" t="s">
        <v>10</v>
      </c>
      <c r="I292" s="3">
        <v>0</v>
      </c>
      <c r="J292" s="3" t="s">
        <v>357</v>
      </c>
      <c r="K292" s="3" t="s">
        <v>369</v>
      </c>
      <c r="L292" s="3">
        <v>132</v>
      </c>
      <c r="M292" s="3" t="s">
        <v>358</v>
      </c>
      <c r="N292" s="3" t="s">
        <v>52</v>
      </c>
    </row>
    <row r="293" spans="1:14">
      <c r="A293" s="3" t="s">
        <v>233</v>
      </c>
      <c r="B293" s="3" t="s">
        <v>234</v>
      </c>
      <c r="C293" s="3" t="s">
        <v>1516</v>
      </c>
      <c r="D293" s="3" t="s">
        <v>1517</v>
      </c>
      <c r="E293" s="3" t="s">
        <v>1517</v>
      </c>
      <c r="F293" s="3" t="s">
        <v>235</v>
      </c>
      <c r="G293" s="3" t="s">
        <v>384</v>
      </c>
      <c r="H293" s="10" t="s">
        <v>10</v>
      </c>
      <c r="I293" s="3">
        <v>0</v>
      </c>
      <c r="J293" s="3" t="s">
        <v>169</v>
      </c>
      <c r="K293" s="3" t="s">
        <v>170</v>
      </c>
      <c r="L293" s="3">
        <v>24</v>
      </c>
      <c r="M293" s="3" t="s">
        <v>358</v>
      </c>
      <c r="N293" s="3" t="s">
        <v>52</v>
      </c>
    </row>
    <row r="294" spans="1:14" ht="28">
      <c r="A294" s="3" t="s">
        <v>1518</v>
      </c>
      <c r="B294" s="3" t="s">
        <v>1085</v>
      </c>
      <c r="C294" s="3" t="s">
        <v>1519</v>
      </c>
      <c r="D294" s="3" t="s">
        <v>1520</v>
      </c>
      <c r="E294" s="3" t="s">
        <v>1520</v>
      </c>
      <c r="F294" s="3" t="s">
        <v>1521</v>
      </c>
      <c r="G294" s="3" t="s">
        <v>356</v>
      </c>
      <c r="H294" s="10" t="s">
        <v>6</v>
      </c>
      <c r="I294" s="3">
        <v>2</v>
      </c>
      <c r="J294" s="3" t="s">
        <v>357</v>
      </c>
      <c r="K294" s="3" t="s">
        <v>369</v>
      </c>
      <c r="L294" s="3">
        <v>24</v>
      </c>
      <c r="M294" s="3" t="s">
        <v>358</v>
      </c>
      <c r="N294" s="3" t="s">
        <v>52</v>
      </c>
    </row>
    <row r="295" spans="1:14" ht="28">
      <c r="A295" s="3" t="s">
        <v>1522</v>
      </c>
      <c r="B295" s="3" t="s">
        <v>451</v>
      </c>
      <c r="C295" s="3" t="s">
        <v>1523</v>
      </c>
      <c r="D295" s="3" t="s">
        <v>1524</v>
      </c>
      <c r="E295" s="3" t="s">
        <v>1524</v>
      </c>
      <c r="F295" s="3" t="s">
        <v>1064</v>
      </c>
      <c r="G295" s="3" t="s">
        <v>356</v>
      </c>
      <c r="H295" s="10" t="s">
        <v>8</v>
      </c>
      <c r="I295" s="3">
        <v>1</v>
      </c>
      <c r="J295" s="3" t="s">
        <v>357</v>
      </c>
      <c r="K295" s="3" t="s">
        <v>369</v>
      </c>
      <c r="L295" s="3">
        <v>114</v>
      </c>
      <c r="M295" s="3" t="s">
        <v>358</v>
      </c>
      <c r="N295" s="3" t="s">
        <v>52</v>
      </c>
    </row>
    <row r="296" spans="1:14" ht="28">
      <c r="A296" s="3" t="s">
        <v>1525</v>
      </c>
      <c r="B296" s="3" t="s">
        <v>1526</v>
      </c>
      <c r="C296" s="3" t="s">
        <v>1527</v>
      </c>
      <c r="D296" s="3" t="s">
        <v>1528</v>
      </c>
      <c r="E296" s="3" t="s">
        <v>1528</v>
      </c>
      <c r="F296" s="3" t="s">
        <v>1529</v>
      </c>
      <c r="G296" s="3" t="s">
        <v>356</v>
      </c>
      <c r="H296" s="10" t="s">
        <v>6</v>
      </c>
      <c r="I296" s="3">
        <v>2</v>
      </c>
      <c r="J296" s="3" t="s">
        <v>357</v>
      </c>
      <c r="K296" s="3" t="s">
        <v>369</v>
      </c>
      <c r="L296" s="3">
        <v>22</v>
      </c>
      <c r="M296" s="3" t="s">
        <v>358</v>
      </c>
      <c r="N296" s="3" t="s">
        <v>52</v>
      </c>
    </row>
    <row r="297" spans="1:14" ht="28">
      <c r="A297" s="3" t="s">
        <v>1530</v>
      </c>
      <c r="B297" s="3" t="s">
        <v>255</v>
      </c>
      <c r="C297" s="3" t="s">
        <v>1531</v>
      </c>
      <c r="D297" s="3" t="s">
        <v>1532</v>
      </c>
      <c r="E297" s="3" t="s">
        <v>1532</v>
      </c>
      <c r="F297" s="3" t="s">
        <v>1533</v>
      </c>
      <c r="G297" s="3" t="s">
        <v>356</v>
      </c>
      <c r="H297" s="10" t="s">
        <v>10</v>
      </c>
      <c r="I297" s="3">
        <v>0</v>
      </c>
      <c r="J297" s="3" t="s">
        <v>357</v>
      </c>
      <c r="K297" s="3" t="s">
        <v>170</v>
      </c>
      <c r="L297" s="3">
        <v>7</v>
      </c>
      <c r="M297" s="3" t="s">
        <v>358</v>
      </c>
      <c r="N297" s="3" t="s">
        <v>52</v>
      </c>
    </row>
    <row r="298" spans="1:14" ht="28">
      <c r="A298" s="3" t="s">
        <v>325</v>
      </c>
      <c r="B298" s="3" t="s">
        <v>326</v>
      </c>
      <c r="C298" s="3" t="s">
        <v>1534</v>
      </c>
      <c r="D298" s="3" t="s">
        <v>1535</v>
      </c>
      <c r="E298" s="3" t="s">
        <v>1535</v>
      </c>
      <c r="F298" s="3" t="s">
        <v>214</v>
      </c>
      <c r="G298" s="3" t="s">
        <v>384</v>
      </c>
      <c r="H298" s="10" t="s">
        <v>10</v>
      </c>
      <c r="I298" s="3">
        <v>0</v>
      </c>
      <c r="J298" s="3" t="s">
        <v>169</v>
      </c>
      <c r="K298" s="3" t="s">
        <v>170</v>
      </c>
      <c r="L298" s="3">
        <v>55</v>
      </c>
      <c r="M298" s="3" t="s">
        <v>358</v>
      </c>
      <c r="N298" s="3" t="s">
        <v>52</v>
      </c>
    </row>
    <row r="299" spans="1:14" ht="28">
      <c r="A299" s="3" t="s">
        <v>1536</v>
      </c>
      <c r="B299" s="3" t="s">
        <v>234</v>
      </c>
      <c r="C299" s="3" t="s">
        <v>1537</v>
      </c>
      <c r="D299" s="3" t="s">
        <v>1538</v>
      </c>
      <c r="E299" s="3" t="s">
        <v>1538</v>
      </c>
      <c r="F299" s="3" t="s">
        <v>1539</v>
      </c>
      <c r="G299" s="3" t="s">
        <v>356</v>
      </c>
      <c r="H299" s="10" t="s">
        <v>10</v>
      </c>
      <c r="I299" s="3">
        <v>0</v>
      </c>
      <c r="J299" s="3" t="s">
        <v>357</v>
      </c>
      <c r="K299" s="3" t="s">
        <v>170</v>
      </c>
      <c r="L299" s="3">
        <v>39</v>
      </c>
      <c r="M299" s="3" t="s">
        <v>358</v>
      </c>
      <c r="N299" s="3" t="s">
        <v>52</v>
      </c>
    </row>
    <row r="300" spans="1:14">
      <c r="A300" s="3" t="s">
        <v>1540</v>
      </c>
      <c r="B300" s="3" t="s">
        <v>426</v>
      </c>
      <c r="C300" s="3" t="s">
        <v>1541</v>
      </c>
      <c r="D300" s="3" t="s">
        <v>1542</v>
      </c>
      <c r="E300" s="3" t="s">
        <v>1542</v>
      </c>
      <c r="F300" s="3" t="s">
        <v>1543</v>
      </c>
      <c r="G300" s="3" t="s">
        <v>356</v>
      </c>
      <c r="H300" s="10" t="s">
        <v>10</v>
      </c>
      <c r="I300" s="3">
        <v>0</v>
      </c>
      <c r="J300" s="3" t="s">
        <v>357</v>
      </c>
      <c r="K300" s="3" t="s">
        <v>369</v>
      </c>
      <c r="L300" s="3">
        <v>123</v>
      </c>
      <c r="M300" s="3" t="s">
        <v>358</v>
      </c>
      <c r="N300" s="3" t="s">
        <v>52</v>
      </c>
    </row>
    <row r="301" spans="1:14">
      <c r="A301" s="3" t="s">
        <v>1544</v>
      </c>
      <c r="B301" s="3" t="s">
        <v>360</v>
      </c>
      <c r="C301" s="3" t="s">
        <v>1545</v>
      </c>
      <c r="D301" s="3" t="s">
        <v>1546</v>
      </c>
      <c r="E301" s="3" t="s">
        <v>1546</v>
      </c>
      <c r="F301" s="3" t="s">
        <v>1547</v>
      </c>
      <c r="G301" s="3" t="s">
        <v>356</v>
      </c>
      <c r="H301" s="10" t="s">
        <v>10</v>
      </c>
      <c r="I301" s="3">
        <v>0</v>
      </c>
      <c r="J301" s="3" t="s">
        <v>357</v>
      </c>
      <c r="K301" s="3" t="s">
        <v>369</v>
      </c>
      <c r="L301" s="3">
        <v>139</v>
      </c>
      <c r="M301" s="3" t="s">
        <v>358</v>
      </c>
      <c r="N301" s="3" t="s">
        <v>52</v>
      </c>
    </row>
    <row r="302" spans="1:14" ht="28">
      <c r="A302" s="3" t="s">
        <v>1548</v>
      </c>
      <c r="B302" s="3" t="s">
        <v>1549</v>
      </c>
      <c r="C302" s="3" t="s">
        <v>1550</v>
      </c>
      <c r="D302" s="3" t="s">
        <v>1551</v>
      </c>
      <c r="E302" s="3" t="s">
        <v>1551</v>
      </c>
      <c r="F302" s="3" t="s">
        <v>414</v>
      </c>
      <c r="G302" s="3" t="s">
        <v>356</v>
      </c>
      <c r="H302" s="10" t="s">
        <v>8</v>
      </c>
      <c r="I302" s="3">
        <v>1</v>
      </c>
      <c r="J302" s="3" t="s">
        <v>357</v>
      </c>
      <c r="K302" s="3" t="s">
        <v>369</v>
      </c>
      <c r="L302" s="3">
        <v>57</v>
      </c>
      <c r="M302" s="3" t="s">
        <v>358</v>
      </c>
      <c r="N302" s="3" t="s">
        <v>52</v>
      </c>
    </row>
    <row r="303" spans="1:14" ht="28">
      <c r="A303" s="3" t="s">
        <v>1552</v>
      </c>
      <c r="B303" s="3" t="s">
        <v>352</v>
      </c>
      <c r="C303" s="3" t="s">
        <v>1553</v>
      </c>
      <c r="D303" s="3" t="s">
        <v>1554</v>
      </c>
      <c r="E303" s="3" t="s">
        <v>1554</v>
      </c>
      <c r="F303" s="3" t="s">
        <v>1555</v>
      </c>
      <c r="G303" s="3" t="s">
        <v>356</v>
      </c>
      <c r="H303" s="10" t="s">
        <v>10</v>
      </c>
      <c r="I303" s="3">
        <v>0</v>
      </c>
      <c r="J303" s="3" t="s">
        <v>357</v>
      </c>
      <c r="K303" s="3" t="s">
        <v>369</v>
      </c>
      <c r="L303" s="3">
        <v>161</v>
      </c>
      <c r="M303" s="3" t="s">
        <v>358</v>
      </c>
      <c r="N303" s="3" t="s">
        <v>52</v>
      </c>
    </row>
    <row r="304" spans="1:14" ht="28">
      <c r="A304" s="3" t="s">
        <v>319</v>
      </c>
      <c r="B304" s="3" t="s">
        <v>320</v>
      </c>
      <c r="C304" s="3" t="s">
        <v>1556</v>
      </c>
      <c r="D304" s="3" t="s">
        <v>1557</v>
      </c>
      <c r="E304" s="3" t="s">
        <v>1557</v>
      </c>
      <c r="F304" s="3" t="s">
        <v>321</v>
      </c>
      <c r="G304" s="3" t="s">
        <v>384</v>
      </c>
      <c r="H304" s="10" t="s">
        <v>10</v>
      </c>
      <c r="I304" s="3">
        <v>0</v>
      </c>
      <c r="J304" s="3" t="s">
        <v>169</v>
      </c>
      <c r="K304" s="3" t="s">
        <v>170</v>
      </c>
      <c r="L304" s="3">
        <v>53</v>
      </c>
      <c r="M304" s="3" t="s">
        <v>358</v>
      </c>
      <c r="N304" s="3" t="s">
        <v>52</v>
      </c>
    </row>
    <row r="305" spans="1:14">
      <c r="A305" s="3" t="s">
        <v>1558</v>
      </c>
      <c r="B305" s="3" t="s">
        <v>431</v>
      </c>
      <c r="C305" s="3" t="s">
        <v>1559</v>
      </c>
      <c r="D305" s="3" t="s">
        <v>1560</v>
      </c>
      <c r="E305" s="3" t="s">
        <v>1560</v>
      </c>
      <c r="F305" s="3" t="s">
        <v>734</v>
      </c>
      <c r="G305" s="3" t="s">
        <v>356</v>
      </c>
      <c r="H305" s="10" t="s">
        <v>10</v>
      </c>
      <c r="I305" s="3">
        <v>0</v>
      </c>
      <c r="J305" s="3" t="s">
        <v>357</v>
      </c>
      <c r="K305" s="3" t="s">
        <v>369</v>
      </c>
      <c r="L305" s="3">
        <v>192</v>
      </c>
      <c r="M305" s="3" t="s">
        <v>358</v>
      </c>
      <c r="N305" s="3" t="s">
        <v>52</v>
      </c>
    </row>
    <row r="306" spans="1:14" ht="28">
      <c r="A306" s="3" t="s">
        <v>275</v>
      </c>
      <c r="B306" s="3" t="s">
        <v>276</v>
      </c>
      <c r="C306" s="3" t="s">
        <v>1561</v>
      </c>
      <c r="D306" s="3" t="s">
        <v>1562</v>
      </c>
      <c r="E306" s="3" t="s">
        <v>1562</v>
      </c>
      <c r="F306" s="3" t="s">
        <v>277</v>
      </c>
      <c r="G306" s="3" t="s">
        <v>384</v>
      </c>
      <c r="H306" s="10" t="s">
        <v>10</v>
      </c>
      <c r="I306" s="3">
        <v>0</v>
      </c>
      <c r="J306" s="3" t="s">
        <v>169</v>
      </c>
      <c r="K306" s="3" t="s">
        <v>170</v>
      </c>
      <c r="L306" s="3">
        <v>38</v>
      </c>
      <c r="M306" s="3" t="s">
        <v>358</v>
      </c>
      <c r="N306" s="3" t="s">
        <v>52</v>
      </c>
    </row>
    <row r="307" spans="1:14" ht="28">
      <c r="A307" s="3" t="s">
        <v>1563</v>
      </c>
      <c r="B307" s="3" t="s">
        <v>1564</v>
      </c>
      <c r="C307" s="3" t="s">
        <v>1565</v>
      </c>
      <c r="D307" s="3" t="s">
        <v>1566</v>
      </c>
      <c r="E307" s="3" t="s">
        <v>1566</v>
      </c>
      <c r="F307" s="3" t="s">
        <v>588</v>
      </c>
      <c r="G307" s="3" t="s">
        <v>356</v>
      </c>
      <c r="H307" s="10" t="s">
        <v>8</v>
      </c>
      <c r="I307" s="3">
        <v>1</v>
      </c>
      <c r="J307" s="3" t="s">
        <v>357</v>
      </c>
      <c r="K307" s="3" t="s">
        <v>369</v>
      </c>
      <c r="L307" s="3">
        <v>172</v>
      </c>
      <c r="M307" s="3" t="s">
        <v>358</v>
      </c>
      <c r="N307" s="3" t="s">
        <v>52</v>
      </c>
    </row>
    <row r="308" spans="1:14">
      <c r="A308" s="3" t="s">
        <v>1567</v>
      </c>
      <c r="B308" s="3" t="s">
        <v>839</v>
      </c>
      <c r="C308" s="3" t="s">
        <v>1568</v>
      </c>
      <c r="D308" s="3" t="s">
        <v>1569</v>
      </c>
      <c r="E308" s="3" t="s">
        <v>1569</v>
      </c>
      <c r="F308" s="3" t="s">
        <v>734</v>
      </c>
      <c r="G308" s="3" t="s">
        <v>356</v>
      </c>
      <c r="H308" s="10" t="s">
        <v>10</v>
      </c>
      <c r="I308" s="3">
        <v>0</v>
      </c>
      <c r="J308" s="3" t="s">
        <v>357</v>
      </c>
      <c r="K308" s="3" t="s">
        <v>369</v>
      </c>
      <c r="L308" s="3">
        <v>183</v>
      </c>
      <c r="M308" s="3" t="s">
        <v>358</v>
      </c>
      <c r="N308" s="3" t="s">
        <v>52</v>
      </c>
    </row>
    <row r="309" spans="1:14">
      <c r="A309" s="3" t="s">
        <v>1570</v>
      </c>
      <c r="B309" s="3" t="s">
        <v>1134</v>
      </c>
      <c r="C309" s="3" t="s">
        <v>1571</v>
      </c>
      <c r="D309" s="3" t="s">
        <v>1572</v>
      </c>
      <c r="E309" s="3" t="s">
        <v>1572</v>
      </c>
      <c r="F309" s="3" t="s">
        <v>734</v>
      </c>
      <c r="G309" s="3" t="s">
        <v>356</v>
      </c>
      <c r="H309" s="10" t="s">
        <v>10</v>
      </c>
      <c r="I309" s="3">
        <v>0</v>
      </c>
      <c r="J309" s="3" t="s">
        <v>357</v>
      </c>
      <c r="K309" s="3" t="s">
        <v>369</v>
      </c>
      <c r="L309" s="3">
        <v>85</v>
      </c>
      <c r="M309" s="3" t="s">
        <v>358</v>
      </c>
      <c r="N309" s="3" t="s">
        <v>52</v>
      </c>
    </row>
    <row r="310" spans="1:14" ht="28">
      <c r="A310" s="3" t="s">
        <v>1573</v>
      </c>
      <c r="B310" s="3" t="s">
        <v>1574</v>
      </c>
      <c r="C310" s="3" t="s">
        <v>1575</v>
      </c>
      <c r="D310" s="3" t="s">
        <v>1576</v>
      </c>
      <c r="E310" s="3" t="s">
        <v>1576</v>
      </c>
      <c r="F310" s="3" t="s">
        <v>368</v>
      </c>
      <c r="G310" s="3" t="s">
        <v>356</v>
      </c>
      <c r="H310" s="10" t="s">
        <v>6</v>
      </c>
      <c r="I310" s="3">
        <v>2</v>
      </c>
      <c r="J310" s="3" t="s">
        <v>357</v>
      </c>
      <c r="K310" s="3" t="s">
        <v>369</v>
      </c>
      <c r="L310" s="3">
        <v>14</v>
      </c>
      <c r="M310" s="3" t="s">
        <v>358</v>
      </c>
      <c r="N310" s="3" t="s">
        <v>52</v>
      </c>
    </row>
    <row r="311" spans="1:14" ht="28">
      <c r="A311" s="3" t="s">
        <v>1577</v>
      </c>
      <c r="B311" s="3" t="s">
        <v>1578</v>
      </c>
      <c r="C311" s="3" t="s">
        <v>1579</v>
      </c>
      <c r="D311" s="3" t="s">
        <v>1580</v>
      </c>
      <c r="E311" s="3" t="s">
        <v>1580</v>
      </c>
      <c r="F311" s="3" t="s">
        <v>1581</v>
      </c>
      <c r="G311" s="3" t="s">
        <v>384</v>
      </c>
      <c r="H311" s="10" t="s">
        <v>10</v>
      </c>
      <c r="I311" s="3">
        <v>0</v>
      </c>
      <c r="J311" s="3" t="s">
        <v>169</v>
      </c>
      <c r="K311" s="3" t="s">
        <v>369</v>
      </c>
      <c r="L311" s="3">
        <v>7</v>
      </c>
      <c r="M311" s="3" t="s">
        <v>358</v>
      </c>
      <c r="N311" s="3" t="s">
        <v>52</v>
      </c>
    </row>
    <row r="312" spans="1:14" ht="28">
      <c r="A312" s="3" t="s">
        <v>1582</v>
      </c>
      <c r="B312" s="3" t="s">
        <v>1583</v>
      </c>
      <c r="C312" s="3" t="s">
        <v>1584</v>
      </c>
      <c r="D312" s="3" t="s">
        <v>1585</v>
      </c>
      <c r="E312" s="3" t="s">
        <v>1585</v>
      </c>
      <c r="F312" s="3" t="s">
        <v>588</v>
      </c>
      <c r="G312" s="3" t="s">
        <v>356</v>
      </c>
      <c r="H312" s="10" t="s">
        <v>8</v>
      </c>
      <c r="I312" s="3">
        <v>1</v>
      </c>
      <c r="J312" s="3" t="s">
        <v>357</v>
      </c>
      <c r="K312" s="3" t="s">
        <v>369</v>
      </c>
      <c r="L312" s="3">
        <v>8</v>
      </c>
      <c r="M312" s="3" t="s">
        <v>358</v>
      </c>
      <c r="N312" s="3" t="s">
        <v>52</v>
      </c>
    </row>
    <row r="313" spans="1:14" ht="28">
      <c r="A313" s="3" t="s">
        <v>1586</v>
      </c>
      <c r="B313" s="3" t="s">
        <v>1587</v>
      </c>
      <c r="C313" s="3" t="s">
        <v>1588</v>
      </c>
      <c r="D313" s="3" t="s">
        <v>1589</v>
      </c>
      <c r="E313" s="3" t="s">
        <v>1589</v>
      </c>
      <c r="F313" s="3" t="s">
        <v>588</v>
      </c>
      <c r="G313" s="3" t="s">
        <v>356</v>
      </c>
      <c r="H313" s="10" t="s">
        <v>8</v>
      </c>
      <c r="I313" s="3">
        <v>1</v>
      </c>
      <c r="J313" s="3" t="s">
        <v>357</v>
      </c>
      <c r="K313" s="3" t="s">
        <v>369</v>
      </c>
      <c r="L313" s="3">
        <v>32</v>
      </c>
      <c r="M313" s="3" t="s">
        <v>358</v>
      </c>
      <c r="N313" s="3" t="s">
        <v>52</v>
      </c>
    </row>
    <row r="314" spans="1:14" ht="28">
      <c r="A314" s="3" t="s">
        <v>1590</v>
      </c>
      <c r="B314" s="3" t="s">
        <v>1591</v>
      </c>
      <c r="C314" s="3" t="s">
        <v>1592</v>
      </c>
      <c r="D314" s="3" t="s">
        <v>1593</v>
      </c>
      <c r="E314" s="3" t="s">
        <v>1593</v>
      </c>
      <c r="F314" s="3" t="s">
        <v>1594</v>
      </c>
      <c r="G314" s="3" t="s">
        <v>356</v>
      </c>
      <c r="H314" s="10" t="s">
        <v>10</v>
      </c>
      <c r="I314" s="3">
        <v>0</v>
      </c>
      <c r="J314" s="3" t="s">
        <v>357</v>
      </c>
      <c r="K314" s="3" t="s">
        <v>170</v>
      </c>
      <c r="L314" s="3">
        <v>21</v>
      </c>
      <c r="M314" s="3" t="s">
        <v>358</v>
      </c>
      <c r="N314" s="3" t="s">
        <v>52</v>
      </c>
    </row>
    <row r="315" spans="1:14" ht="28">
      <c r="A315" s="3" t="s">
        <v>1595</v>
      </c>
      <c r="B315" s="3" t="s">
        <v>1596</v>
      </c>
      <c r="C315" s="3" t="s">
        <v>1597</v>
      </c>
      <c r="D315" s="3" t="s">
        <v>1598</v>
      </c>
      <c r="E315" s="3" t="s">
        <v>1598</v>
      </c>
      <c r="F315" s="3" t="s">
        <v>1599</v>
      </c>
      <c r="G315" s="3" t="s">
        <v>356</v>
      </c>
      <c r="H315" s="10" t="s">
        <v>10</v>
      </c>
      <c r="I315" s="3">
        <v>0</v>
      </c>
      <c r="J315" s="3" t="s">
        <v>357</v>
      </c>
      <c r="K315" s="3" t="s">
        <v>369</v>
      </c>
      <c r="L315" s="3">
        <v>129</v>
      </c>
      <c r="M315" s="3" t="s">
        <v>358</v>
      </c>
      <c r="N315" s="3" t="s">
        <v>52</v>
      </c>
    </row>
    <row r="316" spans="1:14" ht="28">
      <c r="A316" s="3" t="s">
        <v>177</v>
      </c>
      <c r="B316" s="3" t="s">
        <v>178</v>
      </c>
      <c r="C316" s="3" t="s">
        <v>1600</v>
      </c>
      <c r="D316" s="3" t="s">
        <v>1601</v>
      </c>
      <c r="E316" s="3" t="s">
        <v>1601</v>
      </c>
      <c r="F316" s="3" t="s">
        <v>179</v>
      </c>
      <c r="G316" s="3" t="s">
        <v>384</v>
      </c>
      <c r="H316" s="10" t="s">
        <v>10</v>
      </c>
      <c r="I316" s="3">
        <v>0</v>
      </c>
      <c r="J316" s="3" t="s">
        <v>169</v>
      </c>
      <c r="K316" s="3" t="s">
        <v>170</v>
      </c>
      <c r="L316" s="3">
        <v>5</v>
      </c>
      <c r="M316" s="3" t="s">
        <v>358</v>
      </c>
      <c r="N316" s="3" t="s">
        <v>52</v>
      </c>
    </row>
    <row r="317" spans="1:14" ht="28">
      <c r="A317" s="3" t="s">
        <v>1602</v>
      </c>
      <c r="B317" s="3" t="s">
        <v>1603</v>
      </c>
      <c r="C317" s="3" t="s">
        <v>1604</v>
      </c>
      <c r="D317" s="3" t="s">
        <v>1605</v>
      </c>
      <c r="E317" s="3" t="s">
        <v>1605</v>
      </c>
      <c r="F317" s="3" t="s">
        <v>1606</v>
      </c>
      <c r="G317" s="3" t="s">
        <v>356</v>
      </c>
      <c r="H317" s="10" t="s">
        <v>10</v>
      </c>
      <c r="I317" s="3">
        <v>0</v>
      </c>
      <c r="J317" s="3" t="s">
        <v>357</v>
      </c>
      <c r="K317" s="3" t="s">
        <v>369</v>
      </c>
      <c r="L317" s="3">
        <v>198</v>
      </c>
      <c r="M317" s="3" t="s">
        <v>358</v>
      </c>
      <c r="N317" s="3" t="s">
        <v>52</v>
      </c>
    </row>
    <row r="318" spans="1:14" ht="28">
      <c r="A318" s="3" t="s">
        <v>1607</v>
      </c>
      <c r="B318" s="3" t="s">
        <v>1608</v>
      </c>
      <c r="C318" s="3" t="s">
        <v>1609</v>
      </c>
      <c r="D318" s="3" t="s">
        <v>1610</v>
      </c>
      <c r="E318" s="3" t="s">
        <v>1610</v>
      </c>
      <c r="F318" s="3" t="s">
        <v>1611</v>
      </c>
      <c r="G318" s="3" t="s">
        <v>356</v>
      </c>
      <c r="H318" s="10" t="s">
        <v>10</v>
      </c>
      <c r="I318" s="3">
        <v>0</v>
      </c>
      <c r="J318" s="3" t="s">
        <v>357</v>
      </c>
      <c r="K318" s="3" t="s">
        <v>369</v>
      </c>
      <c r="L318" s="3">
        <v>150</v>
      </c>
      <c r="M318" s="3" t="s">
        <v>358</v>
      </c>
      <c r="N318" s="3" t="s">
        <v>52</v>
      </c>
    </row>
    <row r="319" spans="1:14">
      <c r="A319" s="3" t="s">
        <v>1612</v>
      </c>
      <c r="B319" s="3" t="s">
        <v>1613</v>
      </c>
      <c r="C319" s="3" t="s">
        <v>1614</v>
      </c>
      <c r="D319" s="3" t="s">
        <v>1615</v>
      </c>
      <c r="E319" s="3" t="s">
        <v>1615</v>
      </c>
      <c r="F319" s="3" t="s">
        <v>1616</v>
      </c>
      <c r="G319" s="3" t="s">
        <v>384</v>
      </c>
      <c r="H319" s="10" t="s">
        <v>10</v>
      </c>
      <c r="I319" s="3">
        <v>0</v>
      </c>
      <c r="J319" s="3" t="s">
        <v>169</v>
      </c>
      <c r="K319" s="3" t="s">
        <v>369</v>
      </c>
      <c r="L319" s="3">
        <v>11</v>
      </c>
      <c r="M319" s="3" t="s">
        <v>358</v>
      </c>
      <c r="N319" s="3" t="s">
        <v>52</v>
      </c>
    </row>
    <row r="320" spans="1:14" ht="28">
      <c r="A320" s="3" t="s">
        <v>1617</v>
      </c>
      <c r="B320" s="3" t="s">
        <v>451</v>
      </c>
      <c r="C320" s="3" t="s">
        <v>1618</v>
      </c>
      <c r="D320" s="3" t="s">
        <v>1619</v>
      </c>
      <c r="E320" s="3" t="s">
        <v>1619</v>
      </c>
      <c r="F320" s="3" t="s">
        <v>454</v>
      </c>
      <c r="G320" s="3" t="s">
        <v>356</v>
      </c>
      <c r="H320" s="10" t="s">
        <v>6</v>
      </c>
      <c r="I320" s="3">
        <v>2</v>
      </c>
      <c r="J320" s="3" t="s">
        <v>357</v>
      </c>
      <c r="K320" s="3" t="s">
        <v>369</v>
      </c>
      <c r="L320" s="3">
        <v>112</v>
      </c>
      <c r="M320" s="3" t="s">
        <v>358</v>
      </c>
      <c r="N320" s="3" t="s">
        <v>52</v>
      </c>
    </row>
    <row r="321" spans="1:14" ht="28">
      <c r="A321" s="3" t="s">
        <v>1620</v>
      </c>
      <c r="B321" s="3" t="s">
        <v>1621</v>
      </c>
      <c r="C321" s="3" t="s">
        <v>1622</v>
      </c>
      <c r="D321" s="3" t="s">
        <v>1623</v>
      </c>
      <c r="E321" s="3" t="s">
        <v>1623</v>
      </c>
      <c r="F321" s="3" t="s">
        <v>1624</v>
      </c>
      <c r="G321" s="3" t="s">
        <v>356</v>
      </c>
      <c r="H321" s="10" t="s">
        <v>10</v>
      </c>
      <c r="I321" s="3">
        <v>0</v>
      </c>
      <c r="J321" s="3" t="s">
        <v>357</v>
      </c>
      <c r="K321" s="3" t="s">
        <v>369</v>
      </c>
      <c r="L321" s="3">
        <v>182</v>
      </c>
      <c r="M321" s="3" t="s">
        <v>358</v>
      </c>
      <c r="N321" s="3" t="s">
        <v>52</v>
      </c>
    </row>
    <row r="322" spans="1:14">
      <c r="A322" s="3" t="s">
        <v>266</v>
      </c>
      <c r="B322" s="3" t="s">
        <v>267</v>
      </c>
      <c r="C322" s="3" t="s">
        <v>1625</v>
      </c>
      <c r="D322" s="3" t="s">
        <v>1626</v>
      </c>
      <c r="E322" s="3" t="s">
        <v>1626</v>
      </c>
      <c r="F322" s="3" t="s">
        <v>268</v>
      </c>
      <c r="G322" s="3" t="s">
        <v>384</v>
      </c>
      <c r="H322" s="10" t="s">
        <v>10</v>
      </c>
      <c r="I322" s="3">
        <v>0</v>
      </c>
      <c r="J322" s="3" t="s">
        <v>169</v>
      </c>
      <c r="K322" s="3" t="s">
        <v>170</v>
      </c>
      <c r="L322" s="3">
        <v>35</v>
      </c>
      <c r="M322" s="3" t="s">
        <v>358</v>
      </c>
      <c r="N322" s="3" t="s">
        <v>52</v>
      </c>
    </row>
    <row r="323" spans="1:14" ht="28">
      <c r="A323" s="3" t="s">
        <v>1627</v>
      </c>
      <c r="B323" s="3" t="s">
        <v>240</v>
      </c>
      <c r="C323" s="3" t="s">
        <v>1628</v>
      </c>
      <c r="D323" s="3" t="s">
        <v>1629</v>
      </c>
      <c r="E323" s="3" t="s">
        <v>1629</v>
      </c>
      <c r="F323" s="3" t="s">
        <v>1630</v>
      </c>
      <c r="G323" s="3" t="s">
        <v>356</v>
      </c>
      <c r="H323" s="10" t="s">
        <v>10</v>
      </c>
      <c r="I323" s="3">
        <v>0</v>
      </c>
      <c r="J323" s="3" t="s">
        <v>357</v>
      </c>
      <c r="K323" s="3" t="s">
        <v>170</v>
      </c>
      <c r="L323" s="3">
        <v>6</v>
      </c>
      <c r="M323" s="3" t="s">
        <v>358</v>
      </c>
      <c r="N323" s="3" t="s">
        <v>52</v>
      </c>
    </row>
    <row r="324" spans="1:14" ht="28">
      <c r="A324" s="3" t="s">
        <v>166</v>
      </c>
      <c r="B324" s="3" t="s">
        <v>167</v>
      </c>
      <c r="C324" s="3" t="s">
        <v>1631</v>
      </c>
      <c r="D324" s="3" t="s">
        <v>1632</v>
      </c>
      <c r="E324" s="3" t="s">
        <v>1632</v>
      </c>
      <c r="F324" s="3" t="s">
        <v>168</v>
      </c>
      <c r="G324" s="3" t="s">
        <v>384</v>
      </c>
      <c r="H324" s="10" t="s">
        <v>10</v>
      </c>
      <c r="I324" s="3">
        <v>0</v>
      </c>
      <c r="J324" s="3" t="s">
        <v>169</v>
      </c>
      <c r="K324" s="3" t="s">
        <v>170</v>
      </c>
      <c r="L324" s="3">
        <v>2</v>
      </c>
      <c r="M324" s="3" t="s">
        <v>358</v>
      </c>
      <c r="N324" s="3" t="s">
        <v>52</v>
      </c>
    </row>
    <row r="325" spans="1:14">
      <c r="A325" s="3" t="s">
        <v>1633</v>
      </c>
      <c r="B325" s="3" t="s">
        <v>1437</v>
      </c>
      <c r="C325" s="3" t="s">
        <v>1634</v>
      </c>
      <c r="D325" s="3" t="s">
        <v>1635</v>
      </c>
      <c r="E325" s="3" t="s">
        <v>1635</v>
      </c>
      <c r="F325" s="3" t="s">
        <v>1636</v>
      </c>
      <c r="G325" s="3" t="s">
        <v>356</v>
      </c>
      <c r="H325" s="10" t="s">
        <v>10</v>
      </c>
      <c r="I325" s="3">
        <v>0</v>
      </c>
      <c r="J325" s="3" t="s">
        <v>357</v>
      </c>
      <c r="K325" s="3" t="s">
        <v>369</v>
      </c>
      <c r="L325" s="3">
        <v>81</v>
      </c>
      <c r="M325" s="3" t="s">
        <v>358</v>
      </c>
      <c r="N325" s="3" t="s">
        <v>52</v>
      </c>
    </row>
    <row r="326" spans="1:14">
      <c r="A326" s="3" t="s">
        <v>1637</v>
      </c>
      <c r="B326" s="3" t="s">
        <v>234</v>
      </c>
      <c r="C326" s="3" t="s">
        <v>1638</v>
      </c>
      <c r="D326" s="3" t="s">
        <v>1639</v>
      </c>
      <c r="E326" s="3" t="s">
        <v>1639</v>
      </c>
      <c r="F326" s="3" t="s">
        <v>1640</v>
      </c>
      <c r="G326" s="3" t="s">
        <v>356</v>
      </c>
      <c r="H326" s="10" t="s">
        <v>10</v>
      </c>
      <c r="I326" s="3">
        <v>0</v>
      </c>
      <c r="J326" s="3" t="s">
        <v>357</v>
      </c>
      <c r="K326" s="3" t="s">
        <v>369</v>
      </c>
      <c r="L326" s="3">
        <v>181</v>
      </c>
      <c r="M326" s="3" t="s">
        <v>358</v>
      </c>
      <c r="N326" s="3" t="s">
        <v>52</v>
      </c>
    </row>
    <row r="327" spans="1:14" ht="28">
      <c r="A327" s="3" t="s">
        <v>1641</v>
      </c>
      <c r="B327" s="3" t="s">
        <v>1642</v>
      </c>
      <c r="C327" s="3" t="s">
        <v>1643</v>
      </c>
      <c r="D327" s="3" t="s">
        <v>1644</v>
      </c>
      <c r="E327" s="3" t="s">
        <v>1644</v>
      </c>
      <c r="F327" s="3" t="s">
        <v>588</v>
      </c>
      <c r="G327" s="3" t="s">
        <v>356</v>
      </c>
      <c r="H327" s="10" t="s">
        <v>8</v>
      </c>
      <c r="I327" s="3">
        <v>1</v>
      </c>
      <c r="J327" s="3" t="s">
        <v>357</v>
      </c>
      <c r="K327" s="3" t="s">
        <v>369</v>
      </c>
      <c r="L327" s="3">
        <v>160</v>
      </c>
      <c r="M327" s="3" t="s">
        <v>358</v>
      </c>
      <c r="N327" s="3" t="s">
        <v>52</v>
      </c>
    </row>
    <row r="328" spans="1:14" ht="28">
      <c r="A328" s="3" t="s">
        <v>1645</v>
      </c>
      <c r="B328" s="3" t="s">
        <v>1023</v>
      </c>
      <c r="C328" s="3" t="s">
        <v>1646</v>
      </c>
      <c r="D328" s="3" t="s">
        <v>1647</v>
      </c>
      <c r="E328" s="3" t="s">
        <v>1647</v>
      </c>
      <c r="F328" s="3" t="s">
        <v>389</v>
      </c>
      <c r="G328" s="3" t="s">
        <v>356</v>
      </c>
      <c r="H328" s="10" t="s">
        <v>10</v>
      </c>
      <c r="I328" s="3">
        <v>0</v>
      </c>
      <c r="J328" s="3" t="s">
        <v>357</v>
      </c>
      <c r="K328" s="3" t="s">
        <v>369</v>
      </c>
      <c r="L328" s="3">
        <v>73</v>
      </c>
      <c r="M328" s="3" t="s">
        <v>358</v>
      </c>
      <c r="N328" s="3" t="s">
        <v>52</v>
      </c>
    </row>
    <row r="329" spans="1:14" ht="28">
      <c r="A329" s="3" t="s">
        <v>269</v>
      </c>
      <c r="B329" s="3" t="s">
        <v>270</v>
      </c>
      <c r="C329" s="3" t="s">
        <v>1648</v>
      </c>
      <c r="D329" s="3" t="s">
        <v>1649</v>
      </c>
      <c r="E329" s="3" t="s">
        <v>1649</v>
      </c>
      <c r="F329" s="3" t="s">
        <v>271</v>
      </c>
      <c r="G329" s="3" t="s">
        <v>384</v>
      </c>
      <c r="H329" s="10" t="s">
        <v>10</v>
      </c>
      <c r="I329" s="3">
        <v>0</v>
      </c>
      <c r="J329" s="3" t="s">
        <v>169</v>
      </c>
      <c r="K329" s="3" t="s">
        <v>170</v>
      </c>
      <c r="L329" s="3">
        <v>36</v>
      </c>
      <c r="M329" s="3" t="s">
        <v>358</v>
      </c>
      <c r="N329" s="3" t="s">
        <v>52</v>
      </c>
    </row>
    <row r="330" spans="1:14">
      <c r="A330" s="3" t="s">
        <v>1650</v>
      </c>
      <c r="B330" s="3" t="s">
        <v>386</v>
      </c>
      <c r="C330" s="3" t="s">
        <v>1651</v>
      </c>
      <c r="D330" s="3" t="s">
        <v>1652</v>
      </c>
      <c r="E330" s="3" t="s">
        <v>1652</v>
      </c>
      <c r="F330" s="3" t="s">
        <v>734</v>
      </c>
      <c r="G330" s="3" t="s">
        <v>356</v>
      </c>
      <c r="H330" s="10" t="s">
        <v>10</v>
      </c>
      <c r="I330" s="3">
        <v>0</v>
      </c>
      <c r="J330" s="3" t="s">
        <v>357</v>
      </c>
      <c r="K330" s="3" t="s">
        <v>369</v>
      </c>
      <c r="L330" s="3">
        <v>174</v>
      </c>
      <c r="M330" s="3" t="s">
        <v>358</v>
      </c>
      <c r="N330" s="3" t="s">
        <v>52</v>
      </c>
    </row>
    <row r="331" spans="1:14" ht="28">
      <c r="A331" s="3" t="s">
        <v>1653</v>
      </c>
      <c r="B331" s="3" t="s">
        <v>1654</v>
      </c>
      <c r="C331" s="3" t="s">
        <v>1655</v>
      </c>
      <c r="D331" s="3" t="s">
        <v>1656</v>
      </c>
      <c r="E331" s="3" t="s">
        <v>1656</v>
      </c>
      <c r="F331" s="3" t="s">
        <v>1657</v>
      </c>
      <c r="G331" s="3" t="s">
        <v>356</v>
      </c>
      <c r="H331" s="10" t="s">
        <v>10</v>
      </c>
      <c r="I331" s="3">
        <v>0</v>
      </c>
      <c r="J331" s="3" t="s">
        <v>357</v>
      </c>
      <c r="K331" s="3" t="s">
        <v>369</v>
      </c>
      <c r="L331" s="3">
        <v>168</v>
      </c>
      <c r="M331" s="3" t="s">
        <v>358</v>
      </c>
      <c r="N331" s="3" t="s">
        <v>52</v>
      </c>
    </row>
    <row r="332" spans="1:14">
      <c r="A332" s="3" t="s">
        <v>1658</v>
      </c>
      <c r="B332" s="3" t="s">
        <v>1190</v>
      </c>
      <c r="C332" s="3" t="s">
        <v>1659</v>
      </c>
      <c r="D332" s="3" t="s">
        <v>1660</v>
      </c>
      <c r="E332" s="3" t="s">
        <v>1660</v>
      </c>
      <c r="F332" s="3" t="s">
        <v>734</v>
      </c>
      <c r="G332" s="3" t="s">
        <v>356</v>
      </c>
      <c r="H332" s="10" t="s">
        <v>10</v>
      </c>
      <c r="I332" s="3">
        <v>0</v>
      </c>
      <c r="J332" s="3" t="s">
        <v>357</v>
      </c>
      <c r="K332" s="3" t="s">
        <v>369</v>
      </c>
      <c r="L332" s="3">
        <v>162</v>
      </c>
      <c r="M332" s="3" t="s">
        <v>358</v>
      </c>
      <c r="N332" s="3" t="s">
        <v>52</v>
      </c>
    </row>
    <row r="333" spans="1:14" ht="28">
      <c r="A333" s="3" t="s">
        <v>1661</v>
      </c>
      <c r="B333" s="3" t="s">
        <v>1662</v>
      </c>
      <c r="C333" s="3" t="s">
        <v>1663</v>
      </c>
      <c r="D333" s="3" t="s">
        <v>1664</v>
      </c>
      <c r="E333" s="3" t="s">
        <v>1664</v>
      </c>
      <c r="F333" s="3" t="s">
        <v>588</v>
      </c>
      <c r="G333" s="3" t="s">
        <v>356</v>
      </c>
      <c r="H333" s="10" t="s">
        <v>8</v>
      </c>
      <c r="I333" s="3">
        <v>1</v>
      </c>
      <c r="J333" s="3" t="s">
        <v>357</v>
      </c>
      <c r="K333" s="3" t="s">
        <v>369</v>
      </c>
      <c r="L333" s="3">
        <v>15</v>
      </c>
      <c r="M333" s="3" t="s">
        <v>358</v>
      </c>
      <c r="N333" s="3" t="s">
        <v>52</v>
      </c>
    </row>
    <row r="334" spans="1:14">
      <c r="A334" s="3" t="s">
        <v>1665</v>
      </c>
      <c r="B334" s="3" t="s">
        <v>451</v>
      </c>
      <c r="C334" s="3" t="s">
        <v>1666</v>
      </c>
      <c r="D334" s="3" t="s">
        <v>1667</v>
      </c>
      <c r="E334" s="3" t="s">
        <v>1667</v>
      </c>
      <c r="F334" s="3" t="s">
        <v>1668</v>
      </c>
      <c r="G334" s="3" t="s">
        <v>356</v>
      </c>
      <c r="H334" s="10" t="s">
        <v>10</v>
      </c>
      <c r="I334" s="3">
        <v>0</v>
      </c>
      <c r="J334" s="3" t="s">
        <v>357</v>
      </c>
      <c r="K334" s="3" t="s">
        <v>369</v>
      </c>
      <c r="L334" s="3">
        <v>107</v>
      </c>
      <c r="M334" s="3" t="s">
        <v>358</v>
      </c>
      <c r="N334" s="3" t="s">
        <v>52</v>
      </c>
    </row>
    <row r="335" spans="1:14" ht="28">
      <c r="A335" s="3" t="s">
        <v>1669</v>
      </c>
      <c r="B335" s="3" t="s">
        <v>1670</v>
      </c>
      <c r="C335" s="3" t="s">
        <v>1671</v>
      </c>
      <c r="D335" s="3" t="s">
        <v>1672</v>
      </c>
      <c r="E335" s="3" t="s">
        <v>1672</v>
      </c>
      <c r="F335" s="3" t="s">
        <v>1673</v>
      </c>
      <c r="G335" s="3" t="s">
        <v>384</v>
      </c>
      <c r="H335" s="10" t="s">
        <v>10</v>
      </c>
      <c r="I335" s="3">
        <v>0</v>
      </c>
      <c r="J335" s="3" t="s">
        <v>169</v>
      </c>
      <c r="K335" s="3" t="s">
        <v>369</v>
      </c>
      <c r="L335" s="3">
        <v>23</v>
      </c>
      <c r="M335" s="3" t="s">
        <v>358</v>
      </c>
      <c r="N335" s="3" t="s">
        <v>52</v>
      </c>
    </row>
    <row r="336" spans="1:14" ht="28">
      <c r="A336" s="3" t="s">
        <v>1674</v>
      </c>
      <c r="B336" s="3" t="s">
        <v>1675</v>
      </c>
      <c r="C336" s="3" t="s">
        <v>1676</v>
      </c>
      <c r="D336" s="3" t="s">
        <v>1677</v>
      </c>
      <c r="E336" s="3" t="s">
        <v>1677</v>
      </c>
      <c r="F336" s="3" t="s">
        <v>414</v>
      </c>
      <c r="G336" s="3" t="s">
        <v>356</v>
      </c>
      <c r="H336" s="10" t="s">
        <v>8</v>
      </c>
      <c r="I336" s="3">
        <v>1</v>
      </c>
      <c r="J336" s="3" t="s">
        <v>357</v>
      </c>
      <c r="K336" s="3" t="s">
        <v>369</v>
      </c>
      <c r="L336" s="3">
        <v>39</v>
      </c>
      <c r="M336" s="3" t="s">
        <v>358</v>
      </c>
      <c r="N336" s="3" t="s">
        <v>52</v>
      </c>
    </row>
    <row r="337" spans="1:14" ht="28">
      <c r="A337" s="3" t="s">
        <v>1678</v>
      </c>
      <c r="B337" s="3" t="s">
        <v>614</v>
      </c>
      <c r="C337" s="3" t="s">
        <v>1679</v>
      </c>
      <c r="D337" s="3" t="s">
        <v>1680</v>
      </c>
      <c r="E337" s="3" t="s">
        <v>1680</v>
      </c>
      <c r="F337" s="3" t="s">
        <v>1681</v>
      </c>
      <c r="G337" s="3" t="s">
        <v>356</v>
      </c>
      <c r="H337" s="10" t="s">
        <v>6</v>
      </c>
      <c r="I337" s="3">
        <v>2</v>
      </c>
      <c r="J337" s="3" t="s">
        <v>357</v>
      </c>
      <c r="K337" s="3" t="s">
        <v>369</v>
      </c>
      <c r="L337" s="3">
        <v>63</v>
      </c>
      <c r="M337" s="3" t="s">
        <v>358</v>
      </c>
      <c r="N337" s="3" t="s">
        <v>52</v>
      </c>
    </row>
    <row r="338" spans="1:14" ht="28">
      <c r="A338" s="3" t="s">
        <v>1682</v>
      </c>
      <c r="B338" s="3" t="s">
        <v>1683</v>
      </c>
      <c r="C338" s="3" t="s">
        <v>1684</v>
      </c>
      <c r="D338" s="3" t="s">
        <v>1685</v>
      </c>
      <c r="E338" s="3" t="s">
        <v>1685</v>
      </c>
      <c r="F338" s="3" t="s">
        <v>588</v>
      </c>
      <c r="G338" s="3" t="s">
        <v>356</v>
      </c>
      <c r="H338" s="10" t="s">
        <v>8</v>
      </c>
      <c r="I338" s="3">
        <v>1</v>
      </c>
      <c r="J338" s="3" t="s">
        <v>357</v>
      </c>
      <c r="K338" s="3" t="s">
        <v>369</v>
      </c>
      <c r="L338" s="3">
        <v>128</v>
      </c>
      <c r="M338" s="3" t="s">
        <v>358</v>
      </c>
      <c r="N338" s="3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1"/>
  <sheetViews>
    <sheetView showGridLines="0" workbookViewId="0"/>
  </sheetViews>
  <sheetFormatPr baseColWidth="10" defaultColWidth="8.83203125" defaultRowHeight="14"/>
  <cols>
    <col min="1" max="1" width="30" customWidth="1"/>
    <col min="2" max="2" width="24" customWidth="1"/>
    <col min="3" max="3" width="23" customWidth="1"/>
    <col min="4" max="4" width="50" customWidth="1"/>
    <col min="5" max="5" width="24" customWidth="1"/>
    <col min="6" max="6" width="10" customWidth="1"/>
    <col min="7" max="7" width="34" customWidth="1"/>
    <col min="8" max="8" width="45" customWidth="1"/>
  </cols>
  <sheetData>
    <row r="1" spans="1:8" ht="32" customHeight="1">
      <c r="A1" s="4" t="s">
        <v>62</v>
      </c>
      <c r="B1" s="4" t="s">
        <v>59</v>
      </c>
      <c r="C1" s="4" t="s">
        <v>348</v>
      </c>
      <c r="D1" s="4" t="s">
        <v>163</v>
      </c>
      <c r="E1" s="4" t="s">
        <v>164</v>
      </c>
      <c r="F1" s="4" t="s">
        <v>165</v>
      </c>
      <c r="G1" s="4" t="s">
        <v>350</v>
      </c>
      <c r="H1" s="4" t="s">
        <v>51</v>
      </c>
    </row>
    <row r="2" spans="1:8">
      <c r="A2" s="3" t="s">
        <v>305</v>
      </c>
      <c r="B2" s="10" t="s">
        <v>10</v>
      </c>
      <c r="C2" s="3" t="s">
        <v>1686</v>
      </c>
      <c r="D2" s="3" t="s">
        <v>1687</v>
      </c>
      <c r="E2" s="3" t="s">
        <v>1688</v>
      </c>
      <c r="F2" s="3">
        <v>189</v>
      </c>
      <c r="G2" s="3" t="s">
        <v>358</v>
      </c>
      <c r="H2" s="3" t="s">
        <v>52</v>
      </c>
    </row>
    <row r="3" spans="1:8">
      <c r="A3" s="3" t="s">
        <v>596</v>
      </c>
      <c r="B3" s="10" t="s">
        <v>8</v>
      </c>
      <c r="C3" s="3" t="s">
        <v>1686</v>
      </c>
      <c r="D3" s="3" t="s">
        <v>1687</v>
      </c>
      <c r="E3" s="3" t="s">
        <v>1688</v>
      </c>
      <c r="F3" s="3">
        <v>70</v>
      </c>
      <c r="G3" s="3" t="s">
        <v>358</v>
      </c>
      <c r="H3" s="3" t="s">
        <v>52</v>
      </c>
    </row>
    <row r="4" spans="1:8">
      <c r="A4" s="3" t="s">
        <v>181</v>
      </c>
      <c r="B4" s="10" t="s">
        <v>10</v>
      </c>
      <c r="C4" s="3" t="s">
        <v>1686</v>
      </c>
      <c r="D4" s="3" t="s">
        <v>1687</v>
      </c>
      <c r="E4" s="3" t="s">
        <v>1688</v>
      </c>
      <c r="F4" s="3">
        <v>152</v>
      </c>
      <c r="G4" s="3" t="s">
        <v>358</v>
      </c>
      <c r="H4" s="3" t="s">
        <v>52</v>
      </c>
    </row>
    <row r="5" spans="1:8">
      <c r="A5" s="3" t="s">
        <v>575</v>
      </c>
      <c r="B5" s="10" t="s">
        <v>10</v>
      </c>
      <c r="C5" s="3" t="s">
        <v>1686</v>
      </c>
      <c r="D5" s="3" t="s">
        <v>1687</v>
      </c>
      <c r="E5" s="3" t="s">
        <v>1688</v>
      </c>
      <c r="F5" s="3">
        <v>71</v>
      </c>
      <c r="G5" s="3" t="s">
        <v>358</v>
      </c>
      <c r="H5" s="3" t="s">
        <v>52</v>
      </c>
    </row>
    <row r="6" spans="1:8">
      <c r="A6" s="3" t="s">
        <v>763</v>
      </c>
      <c r="B6" s="10" t="s">
        <v>10</v>
      </c>
      <c r="C6" s="3" t="s">
        <v>1686</v>
      </c>
      <c r="D6" s="3" t="s">
        <v>1687</v>
      </c>
      <c r="E6" s="3" t="s">
        <v>1688</v>
      </c>
      <c r="F6" s="3">
        <v>98</v>
      </c>
      <c r="G6" s="3" t="s">
        <v>358</v>
      </c>
      <c r="H6" s="3" t="s">
        <v>52</v>
      </c>
    </row>
    <row r="7" spans="1:8">
      <c r="A7" s="3" t="s">
        <v>1417</v>
      </c>
      <c r="B7" s="10" t="s">
        <v>10</v>
      </c>
      <c r="C7" s="3" t="s">
        <v>1686</v>
      </c>
      <c r="D7" s="3" t="s">
        <v>1687</v>
      </c>
      <c r="E7" s="3" t="s">
        <v>1688</v>
      </c>
      <c r="F7" s="3">
        <v>339</v>
      </c>
      <c r="G7" s="3" t="s">
        <v>358</v>
      </c>
      <c r="H7" s="3" t="s">
        <v>52</v>
      </c>
    </row>
    <row r="8" spans="1:8">
      <c r="A8" s="3" t="s">
        <v>1045</v>
      </c>
      <c r="B8" s="10" t="s">
        <v>8</v>
      </c>
      <c r="C8" s="3" t="s">
        <v>1686</v>
      </c>
      <c r="D8" s="3" t="s">
        <v>1687</v>
      </c>
      <c r="E8" s="3" t="s">
        <v>1688</v>
      </c>
      <c r="F8" s="3">
        <v>190</v>
      </c>
      <c r="G8" s="3" t="s">
        <v>358</v>
      </c>
      <c r="H8" s="3" t="s">
        <v>52</v>
      </c>
    </row>
    <row r="9" spans="1:8">
      <c r="A9" s="3" t="s">
        <v>1176</v>
      </c>
      <c r="B9" s="10" t="s">
        <v>10</v>
      </c>
      <c r="C9" s="3" t="s">
        <v>1686</v>
      </c>
      <c r="D9" s="3" t="s">
        <v>1687</v>
      </c>
      <c r="E9" s="3" t="s">
        <v>1688</v>
      </c>
      <c r="F9" s="3">
        <v>340</v>
      </c>
      <c r="G9" s="3" t="s">
        <v>358</v>
      </c>
      <c r="H9" s="3" t="s">
        <v>52</v>
      </c>
    </row>
    <row r="10" spans="1:8">
      <c r="A10" s="3" t="s">
        <v>426</v>
      </c>
      <c r="B10" s="10" t="s">
        <v>10</v>
      </c>
      <c r="C10" s="3" t="s">
        <v>1686</v>
      </c>
      <c r="D10" s="3" t="s">
        <v>1687</v>
      </c>
      <c r="E10" s="3" t="s">
        <v>1688</v>
      </c>
      <c r="F10" s="3">
        <v>56</v>
      </c>
      <c r="G10" s="3" t="s">
        <v>358</v>
      </c>
      <c r="H10" s="3" t="s">
        <v>52</v>
      </c>
    </row>
    <row r="11" spans="1:8">
      <c r="A11" s="3" t="s">
        <v>1125</v>
      </c>
      <c r="B11" s="10" t="s">
        <v>8</v>
      </c>
      <c r="C11" s="3" t="s">
        <v>1686</v>
      </c>
      <c r="D11" s="3" t="s">
        <v>1687</v>
      </c>
      <c r="E11" s="3" t="s">
        <v>1688</v>
      </c>
      <c r="F11" s="3">
        <v>99</v>
      </c>
      <c r="G11" s="3" t="s">
        <v>358</v>
      </c>
      <c r="H11" s="3" t="s">
        <v>52</v>
      </c>
    </row>
    <row r="12" spans="1:8">
      <c r="A12" s="3" t="s">
        <v>510</v>
      </c>
      <c r="B12" s="10" t="s">
        <v>10</v>
      </c>
      <c r="C12" s="3" t="s">
        <v>1686</v>
      </c>
      <c r="D12" s="3" t="s">
        <v>1687</v>
      </c>
      <c r="E12" s="3" t="s">
        <v>1688</v>
      </c>
      <c r="F12" s="3">
        <v>100</v>
      </c>
      <c r="G12" s="3" t="s">
        <v>358</v>
      </c>
      <c r="H12" s="3" t="s">
        <v>52</v>
      </c>
    </row>
    <row r="13" spans="1:8">
      <c r="A13" s="3" t="s">
        <v>1578</v>
      </c>
      <c r="B13" s="10" t="s">
        <v>10</v>
      </c>
      <c r="C13" s="3" t="s">
        <v>1686</v>
      </c>
      <c r="D13" s="3" t="s">
        <v>1687</v>
      </c>
      <c r="E13" s="3" t="s">
        <v>1688</v>
      </c>
      <c r="F13" s="3">
        <v>270</v>
      </c>
      <c r="G13" s="3" t="s">
        <v>358</v>
      </c>
      <c r="H13" s="3" t="s">
        <v>52</v>
      </c>
    </row>
    <row r="14" spans="1:8">
      <c r="A14" s="3" t="s">
        <v>299</v>
      </c>
      <c r="B14" s="10" t="s">
        <v>10</v>
      </c>
      <c r="C14" s="3" t="s">
        <v>1686</v>
      </c>
      <c r="D14" s="3" t="s">
        <v>1687</v>
      </c>
      <c r="E14" s="3" t="s">
        <v>1688</v>
      </c>
      <c r="F14" s="3">
        <v>170</v>
      </c>
      <c r="G14" s="3" t="s">
        <v>358</v>
      </c>
      <c r="H14" s="3" t="s">
        <v>52</v>
      </c>
    </row>
    <row r="15" spans="1:8">
      <c r="A15" s="3" t="s">
        <v>340</v>
      </c>
      <c r="B15" s="10" t="s">
        <v>10</v>
      </c>
      <c r="C15" s="3" t="s">
        <v>1686</v>
      </c>
      <c r="D15" s="3" t="s">
        <v>1687</v>
      </c>
      <c r="E15" s="3" t="s">
        <v>1688</v>
      </c>
      <c r="F15" s="3">
        <v>191</v>
      </c>
      <c r="G15" s="3" t="s">
        <v>358</v>
      </c>
      <c r="H15" s="3" t="s">
        <v>52</v>
      </c>
    </row>
    <row r="16" spans="1:8">
      <c r="A16" s="3" t="s">
        <v>493</v>
      </c>
      <c r="B16" s="10" t="s">
        <v>10</v>
      </c>
      <c r="C16" s="3" t="s">
        <v>1686</v>
      </c>
      <c r="D16" s="3" t="s">
        <v>1687</v>
      </c>
      <c r="E16" s="3" t="s">
        <v>1688</v>
      </c>
      <c r="F16" s="3">
        <v>343</v>
      </c>
      <c r="G16" s="3" t="s">
        <v>358</v>
      </c>
      <c r="H16" s="3" t="s">
        <v>52</v>
      </c>
    </row>
    <row r="17" spans="1:8">
      <c r="A17" s="3" t="s">
        <v>258</v>
      </c>
      <c r="B17" s="10" t="s">
        <v>10</v>
      </c>
      <c r="C17" s="3" t="s">
        <v>1686</v>
      </c>
      <c r="D17" s="3" t="s">
        <v>1687</v>
      </c>
      <c r="E17" s="3" t="s">
        <v>1688</v>
      </c>
      <c r="F17" s="3">
        <v>192</v>
      </c>
      <c r="G17" s="3" t="s">
        <v>358</v>
      </c>
      <c r="H17" s="3" t="s">
        <v>52</v>
      </c>
    </row>
    <row r="18" spans="1:8">
      <c r="A18" s="3" t="s">
        <v>1485</v>
      </c>
      <c r="B18" s="10" t="s">
        <v>10</v>
      </c>
      <c r="C18" s="3" t="s">
        <v>1686</v>
      </c>
      <c r="D18" s="3" t="s">
        <v>1687</v>
      </c>
      <c r="E18" s="3" t="s">
        <v>1688</v>
      </c>
      <c r="F18" s="3">
        <v>193</v>
      </c>
      <c r="G18" s="3" t="s">
        <v>358</v>
      </c>
      <c r="H18" s="3" t="s">
        <v>52</v>
      </c>
    </row>
    <row r="19" spans="1:8">
      <c r="A19" s="3" t="s">
        <v>632</v>
      </c>
      <c r="B19" s="10" t="s">
        <v>10</v>
      </c>
      <c r="C19" s="3" t="s">
        <v>1686</v>
      </c>
      <c r="D19" s="3" t="s">
        <v>1687</v>
      </c>
      <c r="E19" s="3" t="s">
        <v>1688</v>
      </c>
      <c r="F19" s="3">
        <v>101</v>
      </c>
      <c r="G19" s="3" t="s">
        <v>358</v>
      </c>
      <c r="H19" s="3" t="s">
        <v>52</v>
      </c>
    </row>
    <row r="20" spans="1:8">
      <c r="A20" s="3" t="s">
        <v>1446</v>
      </c>
      <c r="B20" s="10" t="s">
        <v>10</v>
      </c>
      <c r="C20" s="3" t="s">
        <v>1686</v>
      </c>
      <c r="D20" s="3" t="s">
        <v>1687</v>
      </c>
      <c r="E20" s="3" t="s">
        <v>1688</v>
      </c>
      <c r="F20" s="3">
        <v>194</v>
      </c>
      <c r="G20" s="3" t="s">
        <v>358</v>
      </c>
      <c r="H20" s="3" t="s">
        <v>52</v>
      </c>
    </row>
    <row r="21" spans="1:8">
      <c r="A21" s="3" t="s">
        <v>210</v>
      </c>
      <c r="B21" s="10" t="s">
        <v>10</v>
      </c>
      <c r="C21" s="3" t="s">
        <v>1686</v>
      </c>
      <c r="D21" s="3" t="s">
        <v>1687</v>
      </c>
      <c r="E21" s="3" t="s">
        <v>1688</v>
      </c>
      <c r="F21" s="3">
        <v>140</v>
      </c>
      <c r="G21" s="3" t="s">
        <v>358</v>
      </c>
      <c r="H21" s="3" t="s">
        <v>52</v>
      </c>
    </row>
    <row r="22" spans="1:8">
      <c r="A22" s="3" t="s">
        <v>980</v>
      </c>
      <c r="B22" s="10" t="s">
        <v>10</v>
      </c>
      <c r="C22" s="3" t="s">
        <v>1686</v>
      </c>
      <c r="D22" s="3" t="s">
        <v>1687</v>
      </c>
      <c r="E22" s="3" t="s">
        <v>1688</v>
      </c>
      <c r="F22" s="3">
        <v>102</v>
      </c>
      <c r="G22" s="3" t="s">
        <v>358</v>
      </c>
      <c r="H22" s="3" t="s">
        <v>52</v>
      </c>
    </row>
    <row r="23" spans="1:8">
      <c r="A23" s="3" t="s">
        <v>1023</v>
      </c>
      <c r="B23" s="10" t="s">
        <v>8</v>
      </c>
      <c r="C23" s="3" t="s">
        <v>1686</v>
      </c>
      <c r="D23" s="3" t="s">
        <v>1687</v>
      </c>
      <c r="E23" s="3" t="s">
        <v>1688</v>
      </c>
      <c r="F23" s="3">
        <v>72</v>
      </c>
      <c r="G23" s="3" t="s">
        <v>358</v>
      </c>
      <c r="H23" s="3" t="s">
        <v>52</v>
      </c>
    </row>
    <row r="24" spans="1:8">
      <c r="A24" s="3" t="s">
        <v>726</v>
      </c>
      <c r="B24" s="10" t="s">
        <v>6</v>
      </c>
      <c r="C24" s="3" t="s">
        <v>1686</v>
      </c>
      <c r="D24" s="3" t="s">
        <v>1687</v>
      </c>
      <c r="E24" s="3" t="s">
        <v>1688</v>
      </c>
      <c r="F24" s="3">
        <v>2</v>
      </c>
      <c r="G24" s="3" t="s">
        <v>358</v>
      </c>
      <c r="H24" s="3" t="s">
        <v>52</v>
      </c>
    </row>
    <row r="25" spans="1:8">
      <c r="A25" s="3" t="s">
        <v>1689</v>
      </c>
      <c r="B25" s="10" t="s">
        <v>10</v>
      </c>
      <c r="C25" s="3" t="s">
        <v>1686</v>
      </c>
      <c r="D25" s="3" t="s">
        <v>1687</v>
      </c>
      <c r="E25" s="3" t="s">
        <v>1688</v>
      </c>
      <c r="F25" s="3">
        <v>195</v>
      </c>
      <c r="G25" s="3" t="s">
        <v>358</v>
      </c>
      <c r="H25" s="3" t="s">
        <v>52</v>
      </c>
    </row>
    <row r="26" spans="1:8">
      <c r="A26" s="3" t="s">
        <v>1591</v>
      </c>
      <c r="B26" s="10" t="s">
        <v>10</v>
      </c>
      <c r="C26" s="3" t="s">
        <v>1686</v>
      </c>
      <c r="D26" s="3" t="s">
        <v>1687</v>
      </c>
      <c r="E26" s="3" t="s">
        <v>1688</v>
      </c>
      <c r="F26" s="3">
        <v>344</v>
      </c>
      <c r="G26" s="3" t="s">
        <v>358</v>
      </c>
      <c r="H26" s="3" t="s">
        <v>52</v>
      </c>
    </row>
    <row r="27" spans="1:8">
      <c r="A27" s="3" t="s">
        <v>1690</v>
      </c>
      <c r="B27" s="10" t="s">
        <v>10</v>
      </c>
      <c r="C27" s="3" t="s">
        <v>1686</v>
      </c>
      <c r="D27" s="3" t="s">
        <v>1687</v>
      </c>
      <c r="E27" s="3" t="s">
        <v>1688</v>
      </c>
      <c r="F27" s="3">
        <v>271</v>
      </c>
      <c r="G27" s="3" t="s">
        <v>358</v>
      </c>
      <c r="H27" s="3" t="s">
        <v>52</v>
      </c>
    </row>
    <row r="28" spans="1:8">
      <c r="A28" s="3" t="s">
        <v>1691</v>
      </c>
      <c r="B28" s="10" t="s">
        <v>10</v>
      </c>
      <c r="C28" s="3" t="s">
        <v>1686</v>
      </c>
      <c r="D28" s="3" t="s">
        <v>1687</v>
      </c>
      <c r="E28" s="3" t="s">
        <v>1688</v>
      </c>
      <c r="F28" s="3">
        <v>196</v>
      </c>
      <c r="G28" s="3" t="s">
        <v>358</v>
      </c>
      <c r="H28" s="3" t="s">
        <v>52</v>
      </c>
    </row>
    <row r="29" spans="1:8">
      <c r="A29" s="3" t="s">
        <v>858</v>
      </c>
      <c r="B29" s="10" t="s">
        <v>6</v>
      </c>
      <c r="C29" s="3" t="s">
        <v>1686</v>
      </c>
      <c r="D29" s="3" t="s">
        <v>1687</v>
      </c>
      <c r="E29" s="3" t="s">
        <v>1688</v>
      </c>
      <c r="F29" s="3">
        <v>3</v>
      </c>
      <c r="G29" s="3" t="s">
        <v>358</v>
      </c>
      <c r="H29" s="3" t="s">
        <v>52</v>
      </c>
    </row>
    <row r="30" spans="1:8">
      <c r="A30" s="3" t="s">
        <v>1692</v>
      </c>
      <c r="B30" s="10" t="s">
        <v>10</v>
      </c>
      <c r="C30" s="3" t="s">
        <v>1686</v>
      </c>
      <c r="D30" s="3" t="s">
        <v>1687</v>
      </c>
      <c r="E30" s="3" t="s">
        <v>1688</v>
      </c>
      <c r="F30" s="3">
        <v>197</v>
      </c>
      <c r="G30" s="3" t="s">
        <v>358</v>
      </c>
      <c r="H30" s="3" t="s">
        <v>52</v>
      </c>
    </row>
    <row r="31" spans="1:8">
      <c r="A31" s="3" t="s">
        <v>672</v>
      </c>
      <c r="B31" s="10" t="s">
        <v>8</v>
      </c>
      <c r="C31" s="3" t="s">
        <v>1686</v>
      </c>
      <c r="D31" s="3" t="s">
        <v>1687</v>
      </c>
      <c r="E31" s="3" t="s">
        <v>1688</v>
      </c>
      <c r="F31" s="3">
        <v>171</v>
      </c>
      <c r="G31" s="3" t="s">
        <v>358</v>
      </c>
      <c r="H31" s="3" t="s">
        <v>52</v>
      </c>
    </row>
    <row r="32" spans="1:8">
      <c r="A32" s="3" t="s">
        <v>237</v>
      </c>
      <c r="B32" s="10" t="s">
        <v>10</v>
      </c>
      <c r="C32" s="3" t="s">
        <v>1686</v>
      </c>
      <c r="D32" s="3" t="s">
        <v>1687</v>
      </c>
      <c r="E32" s="3" t="s">
        <v>1688</v>
      </c>
      <c r="F32" s="3">
        <v>198</v>
      </c>
      <c r="G32" s="3" t="s">
        <v>358</v>
      </c>
      <c r="H32" s="3" t="s">
        <v>52</v>
      </c>
    </row>
    <row r="33" spans="1:8">
      <c r="A33" s="3" t="s">
        <v>378</v>
      </c>
      <c r="B33" s="10" t="s">
        <v>8</v>
      </c>
      <c r="C33" s="3" t="s">
        <v>1686</v>
      </c>
      <c r="D33" s="3" t="s">
        <v>1687</v>
      </c>
      <c r="E33" s="3" t="s">
        <v>1688</v>
      </c>
      <c r="F33" s="3">
        <v>60</v>
      </c>
      <c r="G33" s="3" t="s">
        <v>358</v>
      </c>
      <c r="H33" s="3" t="s">
        <v>52</v>
      </c>
    </row>
    <row r="34" spans="1:8">
      <c r="A34" s="3" t="s">
        <v>1693</v>
      </c>
      <c r="B34" s="10" t="s">
        <v>10</v>
      </c>
      <c r="C34" s="3" t="s">
        <v>1686</v>
      </c>
      <c r="D34" s="3" t="s">
        <v>1687</v>
      </c>
      <c r="E34" s="3" t="s">
        <v>1688</v>
      </c>
      <c r="F34" s="3">
        <v>145</v>
      </c>
      <c r="G34" s="3" t="s">
        <v>358</v>
      </c>
      <c r="H34" s="3" t="s">
        <v>52</v>
      </c>
    </row>
    <row r="35" spans="1:8">
      <c r="A35" s="3" t="s">
        <v>1493</v>
      </c>
      <c r="B35" s="10" t="s">
        <v>10</v>
      </c>
      <c r="C35" s="3" t="s">
        <v>1686</v>
      </c>
      <c r="D35" s="3" t="s">
        <v>1687</v>
      </c>
      <c r="E35" s="3" t="s">
        <v>1688</v>
      </c>
      <c r="F35" s="3">
        <v>345</v>
      </c>
      <c r="G35" s="3" t="s">
        <v>358</v>
      </c>
      <c r="H35" s="3" t="s">
        <v>52</v>
      </c>
    </row>
    <row r="36" spans="1:8">
      <c r="A36" s="3" t="s">
        <v>1694</v>
      </c>
      <c r="B36" s="10" t="s">
        <v>10</v>
      </c>
      <c r="C36" s="3" t="s">
        <v>1686</v>
      </c>
      <c r="D36" s="3" t="s">
        <v>1687</v>
      </c>
      <c r="E36" s="3" t="s">
        <v>1688</v>
      </c>
      <c r="F36" s="3">
        <v>159</v>
      </c>
      <c r="G36" s="3" t="s">
        <v>358</v>
      </c>
      <c r="H36" s="3" t="s">
        <v>52</v>
      </c>
    </row>
    <row r="37" spans="1:8">
      <c r="A37" s="3" t="s">
        <v>326</v>
      </c>
      <c r="B37" s="10" t="s">
        <v>10</v>
      </c>
      <c r="C37" s="3" t="s">
        <v>1686</v>
      </c>
      <c r="D37" s="3" t="s">
        <v>1687</v>
      </c>
      <c r="E37" s="3" t="s">
        <v>1688</v>
      </c>
      <c r="F37" s="3">
        <v>199</v>
      </c>
      <c r="G37" s="3" t="s">
        <v>358</v>
      </c>
      <c r="H37" s="3" t="s">
        <v>52</v>
      </c>
    </row>
    <row r="38" spans="1:8">
      <c r="A38" s="3" t="s">
        <v>1437</v>
      </c>
      <c r="B38" s="10" t="s">
        <v>8</v>
      </c>
      <c r="C38" s="3" t="s">
        <v>1686</v>
      </c>
      <c r="D38" s="3" t="s">
        <v>1687</v>
      </c>
      <c r="E38" s="3" t="s">
        <v>1688</v>
      </c>
      <c r="F38" s="3">
        <v>200</v>
      </c>
      <c r="G38" s="3" t="s">
        <v>358</v>
      </c>
      <c r="H38" s="3" t="s">
        <v>52</v>
      </c>
    </row>
    <row r="39" spans="1:8">
      <c r="A39" s="3" t="s">
        <v>590</v>
      </c>
      <c r="B39" s="10" t="s">
        <v>6</v>
      </c>
      <c r="C39" s="3" t="s">
        <v>1686</v>
      </c>
      <c r="D39" s="3" t="s">
        <v>1687</v>
      </c>
      <c r="E39" s="3" t="s">
        <v>1688</v>
      </c>
      <c r="F39" s="3">
        <v>4</v>
      </c>
      <c r="G39" s="3" t="s">
        <v>358</v>
      </c>
      <c r="H39" s="3" t="s">
        <v>52</v>
      </c>
    </row>
    <row r="40" spans="1:8">
      <c r="A40" s="3" t="s">
        <v>561</v>
      </c>
      <c r="B40" s="10" t="s">
        <v>6</v>
      </c>
      <c r="C40" s="3" t="s">
        <v>1686</v>
      </c>
      <c r="D40" s="3" t="s">
        <v>1687</v>
      </c>
      <c r="E40" s="3" t="s">
        <v>1688</v>
      </c>
      <c r="F40" s="3">
        <v>5</v>
      </c>
      <c r="G40" s="3" t="s">
        <v>358</v>
      </c>
      <c r="H40" s="3" t="s">
        <v>52</v>
      </c>
    </row>
    <row r="41" spans="1:8">
      <c r="A41" s="3" t="s">
        <v>774</v>
      </c>
      <c r="B41" s="10" t="s">
        <v>6</v>
      </c>
      <c r="C41" s="3" t="s">
        <v>1686</v>
      </c>
      <c r="D41" s="3" t="s">
        <v>1687</v>
      </c>
      <c r="E41" s="3" t="s">
        <v>1688</v>
      </c>
      <c r="F41" s="3">
        <v>272</v>
      </c>
      <c r="G41" s="3" t="s">
        <v>358</v>
      </c>
      <c r="H41" s="3" t="s">
        <v>52</v>
      </c>
    </row>
    <row r="42" spans="1:8">
      <c r="A42" s="3" t="s">
        <v>1695</v>
      </c>
      <c r="B42" s="10" t="s">
        <v>10</v>
      </c>
      <c r="C42" s="3" t="s">
        <v>1686</v>
      </c>
      <c r="D42" s="3" t="s">
        <v>1687</v>
      </c>
      <c r="E42" s="3" t="s">
        <v>1688</v>
      </c>
      <c r="F42" s="3">
        <v>201</v>
      </c>
      <c r="G42" s="3" t="s">
        <v>358</v>
      </c>
      <c r="H42" s="3" t="s">
        <v>52</v>
      </c>
    </row>
    <row r="43" spans="1:8">
      <c r="A43" s="3" t="s">
        <v>267</v>
      </c>
      <c r="B43" s="10" t="s">
        <v>10</v>
      </c>
      <c r="C43" s="3" t="s">
        <v>1686</v>
      </c>
      <c r="D43" s="3" t="s">
        <v>1687</v>
      </c>
      <c r="E43" s="3" t="s">
        <v>1688</v>
      </c>
      <c r="F43" s="3">
        <v>172</v>
      </c>
      <c r="G43" s="3" t="s">
        <v>358</v>
      </c>
      <c r="H43" s="3" t="s">
        <v>52</v>
      </c>
    </row>
    <row r="44" spans="1:8">
      <c r="A44" s="3" t="s">
        <v>1002</v>
      </c>
      <c r="B44" s="10" t="s">
        <v>6</v>
      </c>
      <c r="C44" s="3" t="s">
        <v>1686</v>
      </c>
      <c r="D44" s="3" t="s">
        <v>1687</v>
      </c>
      <c r="E44" s="3" t="s">
        <v>1688</v>
      </c>
      <c r="F44" s="3">
        <v>6</v>
      </c>
      <c r="G44" s="3" t="s">
        <v>358</v>
      </c>
      <c r="H44" s="3" t="s">
        <v>52</v>
      </c>
    </row>
    <row r="45" spans="1:8">
      <c r="A45" s="3" t="s">
        <v>231</v>
      </c>
      <c r="B45" s="10" t="s">
        <v>10</v>
      </c>
      <c r="C45" s="3" t="s">
        <v>1686</v>
      </c>
      <c r="D45" s="3" t="s">
        <v>1687</v>
      </c>
      <c r="E45" s="3" t="s">
        <v>1688</v>
      </c>
      <c r="F45" s="3">
        <v>173</v>
      </c>
      <c r="G45" s="3" t="s">
        <v>358</v>
      </c>
      <c r="H45" s="3" t="s">
        <v>52</v>
      </c>
    </row>
    <row r="46" spans="1:8">
      <c r="A46" s="3" t="s">
        <v>1696</v>
      </c>
      <c r="B46" s="10" t="s">
        <v>10</v>
      </c>
      <c r="C46" s="3" t="s">
        <v>1686</v>
      </c>
      <c r="D46" s="3" t="s">
        <v>1687</v>
      </c>
      <c r="E46" s="3" t="s">
        <v>1688</v>
      </c>
      <c r="F46" s="3">
        <v>202</v>
      </c>
      <c r="G46" s="3" t="s">
        <v>358</v>
      </c>
      <c r="H46" s="3" t="s">
        <v>52</v>
      </c>
    </row>
    <row r="47" spans="1:8">
      <c r="A47" s="3" t="s">
        <v>1248</v>
      </c>
      <c r="B47" s="10" t="s">
        <v>10</v>
      </c>
      <c r="C47" s="3" t="s">
        <v>1686</v>
      </c>
      <c r="D47" s="3" t="s">
        <v>1687</v>
      </c>
      <c r="E47" s="3" t="s">
        <v>1688</v>
      </c>
      <c r="F47" s="3">
        <v>341</v>
      </c>
      <c r="G47" s="3" t="s">
        <v>358</v>
      </c>
      <c r="H47" s="3" t="s">
        <v>52</v>
      </c>
    </row>
    <row r="48" spans="1:8">
      <c r="A48" s="3" t="s">
        <v>1683</v>
      </c>
      <c r="B48" s="10" t="s">
        <v>10</v>
      </c>
      <c r="C48" s="3" t="s">
        <v>1686</v>
      </c>
      <c r="D48" s="3" t="s">
        <v>1687</v>
      </c>
      <c r="E48" s="3" t="s">
        <v>1688</v>
      </c>
      <c r="F48" s="3">
        <v>103</v>
      </c>
      <c r="G48" s="3" t="s">
        <v>358</v>
      </c>
      <c r="H48" s="3" t="s">
        <v>52</v>
      </c>
    </row>
    <row r="49" spans="1:8">
      <c r="A49" s="3" t="s">
        <v>1697</v>
      </c>
      <c r="B49" s="10" t="s">
        <v>10</v>
      </c>
      <c r="C49" s="3" t="s">
        <v>1686</v>
      </c>
      <c r="D49" s="3" t="s">
        <v>1687</v>
      </c>
      <c r="E49" s="3" t="s">
        <v>1688</v>
      </c>
      <c r="F49" s="3">
        <v>203</v>
      </c>
      <c r="G49" s="3" t="s">
        <v>358</v>
      </c>
      <c r="H49" s="3" t="s">
        <v>52</v>
      </c>
    </row>
    <row r="50" spans="1:8">
      <c r="A50" s="3" t="s">
        <v>789</v>
      </c>
      <c r="B50" s="10" t="s">
        <v>10</v>
      </c>
      <c r="C50" s="3" t="s">
        <v>1686</v>
      </c>
      <c r="D50" s="3" t="s">
        <v>1687</v>
      </c>
      <c r="E50" s="3" t="s">
        <v>1688</v>
      </c>
      <c r="F50" s="3">
        <v>204</v>
      </c>
      <c r="G50" s="3" t="s">
        <v>358</v>
      </c>
      <c r="H50" s="3" t="s">
        <v>52</v>
      </c>
    </row>
    <row r="51" spans="1:8">
      <c r="A51" s="3" t="s">
        <v>1583</v>
      </c>
      <c r="B51" s="10" t="s">
        <v>6</v>
      </c>
      <c r="C51" s="3" t="s">
        <v>1686</v>
      </c>
      <c r="D51" s="3" t="s">
        <v>1687</v>
      </c>
      <c r="E51" s="3" t="s">
        <v>1688</v>
      </c>
      <c r="F51" s="3">
        <v>7</v>
      </c>
      <c r="G51" s="3" t="s">
        <v>358</v>
      </c>
      <c r="H51" s="3" t="s">
        <v>52</v>
      </c>
    </row>
    <row r="52" spans="1:8">
      <c r="A52" s="3" t="s">
        <v>222</v>
      </c>
      <c r="B52" s="10" t="s">
        <v>10</v>
      </c>
      <c r="C52" s="3" t="s">
        <v>1686</v>
      </c>
      <c r="D52" s="3" t="s">
        <v>1687</v>
      </c>
      <c r="E52" s="3" t="s">
        <v>1688</v>
      </c>
      <c r="F52" s="3">
        <v>205</v>
      </c>
      <c r="G52" s="3" t="s">
        <v>358</v>
      </c>
      <c r="H52" s="3" t="s">
        <v>52</v>
      </c>
    </row>
    <row r="53" spans="1:8">
      <c r="A53" s="3" t="s">
        <v>225</v>
      </c>
      <c r="B53" s="10" t="s">
        <v>10</v>
      </c>
      <c r="C53" s="3" t="s">
        <v>1686</v>
      </c>
      <c r="D53" s="3" t="s">
        <v>1687</v>
      </c>
      <c r="E53" s="3" t="s">
        <v>1688</v>
      </c>
      <c r="F53" s="3">
        <v>153</v>
      </c>
      <c r="G53" s="3" t="s">
        <v>358</v>
      </c>
      <c r="H53" s="3" t="s">
        <v>52</v>
      </c>
    </row>
    <row r="54" spans="1:8">
      <c r="A54" s="3" t="s">
        <v>585</v>
      </c>
      <c r="B54" s="10" t="s">
        <v>6</v>
      </c>
      <c r="C54" s="3" t="s">
        <v>1686</v>
      </c>
      <c r="D54" s="3" t="s">
        <v>1687</v>
      </c>
      <c r="E54" s="3" t="s">
        <v>1688</v>
      </c>
      <c r="F54" s="3">
        <v>8</v>
      </c>
      <c r="G54" s="3" t="s">
        <v>358</v>
      </c>
      <c r="H54" s="3" t="s">
        <v>52</v>
      </c>
    </row>
    <row r="55" spans="1:8">
      <c r="A55" s="3" t="s">
        <v>243</v>
      </c>
      <c r="B55" s="10" t="s">
        <v>10</v>
      </c>
      <c r="C55" s="3" t="s">
        <v>1686</v>
      </c>
      <c r="D55" s="3" t="s">
        <v>1687</v>
      </c>
      <c r="E55" s="3" t="s">
        <v>1688</v>
      </c>
      <c r="F55" s="3">
        <v>154</v>
      </c>
      <c r="G55" s="3" t="s">
        <v>358</v>
      </c>
      <c r="H55" s="3" t="s">
        <v>52</v>
      </c>
    </row>
    <row r="56" spans="1:8">
      <c r="A56" s="3" t="s">
        <v>1698</v>
      </c>
      <c r="B56" s="10" t="s">
        <v>10</v>
      </c>
      <c r="C56" s="3" t="s">
        <v>1686</v>
      </c>
      <c r="D56" s="3" t="s">
        <v>1687</v>
      </c>
      <c r="E56" s="3" t="s">
        <v>1688</v>
      </c>
      <c r="F56" s="3">
        <v>174</v>
      </c>
      <c r="G56" s="3" t="s">
        <v>358</v>
      </c>
      <c r="H56" s="3" t="s">
        <v>52</v>
      </c>
    </row>
    <row r="57" spans="1:8">
      <c r="A57" s="3" t="s">
        <v>302</v>
      </c>
      <c r="B57" s="10" t="s">
        <v>10</v>
      </c>
      <c r="C57" s="3" t="s">
        <v>1686</v>
      </c>
      <c r="D57" s="3" t="s">
        <v>1687</v>
      </c>
      <c r="E57" s="3" t="s">
        <v>1688</v>
      </c>
      <c r="F57" s="3">
        <v>175</v>
      </c>
      <c r="G57" s="3" t="s">
        <v>358</v>
      </c>
      <c r="H57" s="3" t="s">
        <v>52</v>
      </c>
    </row>
    <row r="58" spans="1:8">
      <c r="A58" s="3" t="s">
        <v>530</v>
      </c>
      <c r="B58" s="10" t="s">
        <v>6</v>
      </c>
      <c r="C58" s="3" t="s">
        <v>1686</v>
      </c>
      <c r="D58" s="3" t="s">
        <v>1687</v>
      </c>
      <c r="E58" s="3" t="s">
        <v>1688</v>
      </c>
      <c r="F58" s="3">
        <v>9</v>
      </c>
      <c r="G58" s="3" t="s">
        <v>358</v>
      </c>
      <c r="H58" s="3" t="s">
        <v>52</v>
      </c>
    </row>
    <row r="59" spans="1:8">
      <c r="A59" s="3" t="s">
        <v>1699</v>
      </c>
      <c r="B59" s="10" t="s">
        <v>10</v>
      </c>
      <c r="C59" s="3" t="s">
        <v>1686</v>
      </c>
      <c r="D59" s="3" t="s">
        <v>1687</v>
      </c>
      <c r="E59" s="3" t="s">
        <v>1688</v>
      </c>
      <c r="F59" s="3">
        <v>206</v>
      </c>
      <c r="G59" s="3" t="s">
        <v>358</v>
      </c>
      <c r="H59" s="3" t="s">
        <v>52</v>
      </c>
    </row>
    <row r="60" spans="1:8">
      <c r="A60" s="3" t="s">
        <v>1033</v>
      </c>
      <c r="B60" s="10" t="s">
        <v>10</v>
      </c>
      <c r="C60" s="3" t="s">
        <v>1686</v>
      </c>
      <c r="D60" s="3" t="s">
        <v>1687</v>
      </c>
      <c r="E60" s="3" t="s">
        <v>1688</v>
      </c>
      <c r="F60" s="3">
        <v>207</v>
      </c>
      <c r="G60" s="3" t="s">
        <v>358</v>
      </c>
      <c r="H60" s="3" t="s">
        <v>52</v>
      </c>
    </row>
    <row r="61" spans="1:8">
      <c r="A61" s="3" t="s">
        <v>252</v>
      </c>
      <c r="B61" s="10" t="s">
        <v>10</v>
      </c>
      <c r="C61" s="3" t="s">
        <v>1686</v>
      </c>
      <c r="D61" s="3" t="s">
        <v>1687</v>
      </c>
      <c r="E61" s="3" t="s">
        <v>1688</v>
      </c>
      <c r="F61" s="3">
        <v>208</v>
      </c>
      <c r="G61" s="3" t="s">
        <v>358</v>
      </c>
      <c r="H61" s="3" t="s">
        <v>52</v>
      </c>
    </row>
    <row r="62" spans="1:8">
      <c r="A62" s="3" t="s">
        <v>1596</v>
      </c>
      <c r="B62" s="10" t="s">
        <v>10</v>
      </c>
      <c r="C62" s="3" t="s">
        <v>1686</v>
      </c>
      <c r="D62" s="3" t="s">
        <v>1687</v>
      </c>
      <c r="E62" s="3" t="s">
        <v>1688</v>
      </c>
      <c r="F62" s="3">
        <v>104</v>
      </c>
      <c r="G62" s="3" t="s">
        <v>358</v>
      </c>
      <c r="H62" s="3" t="s">
        <v>52</v>
      </c>
    </row>
    <row r="63" spans="1:8">
      <c r="A63" s="3" t="s">
        <v>337</v>
      </c>
      <c r="B63" s="10" t="s">
        <v>10</v>
      </c>
      <c r="C63" s="3" t="s">
        <v>1686</v>
      </c>
      <c r="D63" s="3" t="s">
        <v>1687</v>
      </c>
      <c r="E63" s="3" t="s">
        <v>1688</v>
      </c>
      <c r="F63" s="3">
        <v>58</v>
      </c>
      <c r="G63" s="3" t="s">
        <v>358</v>
      </c>
      <c r="H63" s="3" t="s">
        <v>52</v>
      </c>
    </row>
    <row r="64" spans="1:8">
      <c r="A64" s="3" t="s">
        <v>205</v>
      </c>
      <c r="B64" s="10" t="s">
        <v>10</v>
      </c>
      <c r="C64" s="3" t="s">
        <v>1686</v>
      </c>
      <c r="D64" s="3" t="s">
        <v>1687</v>
      </c>
      <c r="E64" s="3" t="s">
        <v>1688</v>
      </c>
      <c r="F64" s="3">
        <v>273</v>
      </c>
      <c r="G64" s="3" t="s">
        <v>358</v>
      </c>
      <c r="H64" s="3" t="s">
        <v>52</v>
      </c>
    </row>
    <row r="65" spans="1:8">
      <c r="A65" s="3" t="s">
        <v>398</v>
      </c>
      <c r="B65" s="10" t="s">
        <v>6</v>
      </c>
      <c r="C65" s="3" t="s">
        <v>1686</v>
      </c>
      <c r="D65" s="3" t="s">
        <v>1687</v>
      </c>
      <c r="E65" s="3" t="s">
        <v>1688</v>
      </c>
      <c r="F65" s="3">
        <v>105</v>
      </c>
      <c r="G65" s="3" t="s">
        <v>358</v>
      </c>
      <c r="H65" s="3" t="s">
        <v>52</v>
      </c>
    </row>
    <row r="66" spans="1:8">
      <c r="A66" s="3" t="s">
        <v>696</v>
      </c>
      <c r="B66" s="10" t="s">
        <v>6</v>
      </c>
      <c r="C66" s="3" t="s">
        <v>1686</v>
      </c>
      <c r="D66" s="3" t="s">
        <v>1687</v>
      </c>
      <c r="E66" s="3" t="s">
        <v>1688</v>
      </c>
      <c r="F66" s="3">
        <v>10</v>
      </c>
      <c r="G66" s="3" t="s">
        <v>358</v>
      </c>
      <c r="H66" s="3" t="s">
        <v>52</v>
      </c>
    </row>
    <row r="67" spans="1:8">
      <c r="A67" s="3" t="s">
        <v>914</v>
      </c>
      <c r="B67" s="10" t="s">
        <v>6</v>
      </c>
      <c r="C67" s="3" t="s">
        <v>1686</v>
      </c>
      <c r="D67" s="3" t="s">
        <v>1687</v>
      </c>
      <c r="E67" s="3" t="s">
        <v>1688</v>
      </c>
      <c r="F67" s="3">
        <v>11</v>
      </c>
      <c r="G67" s="3" t="s">
        <v>358</v>
      </c>
      <c r="H67" s="3" t="s">
        <v>52</v>
      </c>
    </row>
    <row r="68" spans="1:8">
      <c r="A68" s="3" t="s">
        <v>893</v>
      </c>
      <c r="B68" s="10" t="s">
        <v>10</v>
      </c>
      <c r="C68" s="3" t="s">
        <v>1686</v>
      </c>
      <c r="D68" s="3" t="s">
        <v>1687</v>
      </c>
      <c r="E68" s="3" t="s">
        <v>1688</v>
      </c>
      <c r="F68" s="3">
        <v>335</v>
      </c>
      <c r="G68" s="3" t="s">
        <v>358</v>
      </c>
      <c r="H68" s="3" t="s">
        <v>52</v>
      </c>
    </row>
    <row r="69" spans="1:8">
      <c r="A69" s="3" t="s">
        <v>172</v>
      </c>
      <c r="B69" s="10" t="s">
        <v>10</v>
      </c>
      <c r="C69" s="3" t="s">
        <v>1686</v>
      </c>
      <c r="D69" s="3" t="s">
        <v>1687</v>
      </c>
      <c r="E69" s="3" t="s">
        <v>1688</v>
      </c>
      <c r="F69" s="3">
        <v>209</v>
      </c>
      <c r="G69" s="3" t="s">
        <v>358</v>
      </c>
      <c r="H69" s="3" t="s">
        <v>52</v>
      </c>
    </row>
    <row r="70" spans="1:8">
      <c r="A70" s="3" t="s">
        <v>1700</v>
      </c>
      <c r="B70" s="10" t="s">
        <v>10</v>
      </c>
      <c r="C70" s="3" t="s">
        <v>1686</v>
      </c>
      <c r="D70" s="3" t="s">
        <v>1687</v>
      </c>
      <c r="E70" s="3" t="s">
        <v>1688</v>
      </c>
      <c r="F70" s="3">
        <v>210</v>
      </c>
      <c r="G70" s="3" t="s">
        <v>358</v>
      </c>
      <c r="H70" s="3" t="s">
        <v>52</v>
      </c>
    </row>
    <row r="71" spans="1:8">
      <c r="A71" s="3" t="s">
        <v>291</v>
      </c>
      <c r="B71" s="10" t="s">
        <v>10</v>
      </c>
      <c r="C71" s="3" t="s">
        <v>1686</v>
      </c>
      <c r="D71" s="3" t="s">
        <v>1687</v>
      </c>
      <c r="E71" s="3" t="s">
        <v>1688</v>
      </c>
      <c r="F71" s="3">
        <v>55</v>
      </c>
      <c r="G71" s="3" t="s">
        <v>358</v>
      </c>
      <c r="H71" s="3" t="s">
        <v>52</v>
      </c>
    </row>
    <row r="72" spans="1:8">
      <c r="A72" s="3" t="s">
        <v>1574</v>
      </c>
      <c r="B72" s="10" t="s">
        <v>6</v>
      </c>
      <c r="C72" s="3" t="s">
        <v>1686</v>
      </c>
      <c r="D72" s="3" t="s">
        <v>1687</v>
      </c>
      <c r="E72" s="3" t="s">
        <v>1688</v>
      </c>
      <c r="F72" s="3">
        <v>12</v>
      </c>
      <c r="G72" s="3" t="s">
        <v>358</v>
      </c>
      <c r="H72" s="3" t="s">
        <v>52</v>
      </c>
    </row>
    <row r="73" spans="1:8">
      <c r="A73" s="3" t="s">
        <v>1662</v>
      </c>
      <c r="B73" s="10" t="s">
        <v>6</v>
      </c>
      <c r="C73" s="3" t="s">
        <v>1686</v>
      </c>
      <c r="D73" s="3" t="s">
        <v>1687</v>
      </c>
      <c r="E73" s="3" t="s">
        <v>1688</v>
      </c>
      <c r="F73" s="3">
        <v>13</v>
      </c>
      <c r="G73" s="3" t="s">
        <v>358</v>
      </c>
      <c r="H73" s="3" t="s">
        <v>52</v>
      </c>
    </row>
    <row r="74" spans="1:8">
      <c r="A74" s="3" t="s">
        <v>1613</v>
      </c>
      <c r="B74" s="10" t="s">
        <v>10</v>
      </c>
      <c r="C74" s="3" t="s">
        <v>1686</v>
      </c>
      <c r="D74" s="3" t="s">
        <v>1687</v>
      </c>
      <c r="E74" s="3" t="s">
        <v>1688</v>
      </c>
      <c r="F74" s="3">
        <v>211</v>
      </c>
      <c r="G74" s="3" t="s">
        <v>358</v>
      </c>
      <c r="H74" s="3" t="s">
        <v>52</v>
      </c>
    </row>
    <row r="75" spans="1:8">
      <c r="A75" s="3" t="s">
        <v>535</v>
      </c>
      <c r="B75" s="10" t="s">
        <v>10</v>
      </c>
      <c r="C75" s="3" t="s">
        <v>1686</v>
      </c>
      <c r="D75" s="3" t="s">
        <v>1687</v>
      </c>
      <c r="E75" s="3" t="s">
        <v>1688</v>
      </c>
      <c r="F75" s="3">
        <v>160</v>
      </c>
      <c r="G75" s="3" t="s">
        <v>358</v>
      </c>
      <c r="H75" s="3" t="s">
        <v>52</v>
      </c>
    </row>
    <row r="76" spans="1:8">
      <c r="A76" s="3" t="s">
        <v>1120</v>
      </c>
      <c r="B76" s="10" t="s">
        <v>10</v>
      </c>
      <c r="C76" s="3" t="s">
        <v>1686</v>
      </c>
      <c r="D76" s="3" t="s">
        <v>1687</v>
      </c>
      <c r="E76" s="3" t="s">
        <v>1688</v>
      </c>
      <c r="F76" s="3">
        <v>106</v>
      </c>
      <c r="G76" s="3" t="s">
        <v>358</v>
      </c>
      <c r="H76" s="3" t="s">
        <v>52</v>
      </c>
    </row>
    <row r="77" spans="1:8">
      <c r="A77" s="3" t="s">
        <v>1152</v>
      </c>
      <c r="B77" s="10" t="s">
        <v>10</v>
      </c>
      <c r="C77" s="3" t="s">
        <v>1686</v>
      </c>
      <c r="D77" s="3" t="s">
        <v>1687</v>
      </c>
      <c r="E77" s="3" t="s">
        <v>1688</v>
      </c>
      <c r="F77" s="3">
        <v>142</v>
      </c>
      <c r="G77" s="3" t="s">
        <v>358</v>
      </c>
      <c r="H77" s="3" t="s">
        <v>52</v>
      </c>
    </row>
    <row r="78" spans="1:8">
      <c r="A78" s="3" t="s">
        <v>1428</v>
      </c>
      <c r="B78" s="10" t="s">
        <v>6</v>
      </c>
      <c r="C78" s="3" t="s">
        <v>1686</v>
      </c>
      <c r="D78" s="3" t="s">
        <v>1687</v>
      </c>
      <c r="E78" s="3" t="s">
        <v>1688</v>
      </c>
      <c r="F78" s="3">
        <v>14</v>
      </c>
      <c r="G78" s="3" t="s">
        <v>358</v>
      </c>
      <c r="H78" s="3" t="s">
        <v>52</v>
      </c>
    </row>
    <row r="79" spans="1:8">
      <c r="A79" s="3" t="s">
        <v>1701</v>
      </c>
      <c r="B79" s="10" t="s">
        <v>10</v>
      </c>
      <c r="C79" s="3" t="s">
        <v>1686</v>
      </c>
      <c r="D79" s="3" t="s">
        <v>1687</v>
      </c>
      <c r="E79" s="3" t="s">
        <v>1688</v>
      </c>
      <c r="F79" s="3">
        <v>212</v>
      </c>
      <c r="G79" s="3" t="s">
        <v>358</v>
      </c>
      <c r="H79" s="3" t="s">
        <v>52</v>
      </c>
    </row>
    <row r="80" spans="1:8">
      <c r="A80" s="3" t="s">
        <v>261</v>
      </c>
      <c r="B80" s="10" t="s">
        <v>10</v>
      </c>
      <c r="C80" s="3" t="s">
        <v>1686</v>
      </c>
      <c r="D80" s="3" t="s">
        <v>1687</v>
      </c>
      <c r="E80" s="3" t="s">
        <v>1688</v>
      </c>
      <c r="F80" s="3">
        <v>274</v>
      </c>
      <c r="G80" s="3" t="s">
        <v>358</v>
      </c>
      <c r="H80" s="3" t="s">
        <v>52</v>
      </c>
    </row>
    <row r="81" spans="1:8">
      <c r="A81" s="3" t="s">
        <v>636</v>
      </c>
      <c r="B81" s="10" t="s">
        <v>6</v>
      </c>
      <c r="C81" s="3" t="s">
        <v>1686</v>
      </c>
      <c r="D81" s="3" t="s">
        <v>1687</v>
      </c>
      <c r="E81" s="3" t="s">
        <v>1688</v>
      </c>
      <c r="F81" s="3">
        <v>15</v>
      </c>
      <c r="G81" s="3" t="s">
        <v>358</v>
      </c>
      <c r="H81" s="3" t="s">
        <v>52</v>
      </c>
    </row>
    <row r="82" spans="1:8">
      <c r="A82" s="3" t="s">
        <v>1451</v>
      </c>
      <c r="B82" s="10" t="s">
        <v>10</v>
      </c>
      <c r="C82" s="3" t="s">
        <v>1686</v>
      </c>
      <c r="D82" s="3" t="s">
        <v>1687</v>
      </c>
      <c r="E82" s="3" t="s">
        <v>1688</v>
      </c>
      <c r="F82" s="3">
        <v>73</v>
      </c>
      <c r="G82" s="3" t="s">
        <v>358</v>
      </c>
      <c r="H82" s="3" t="s">
        <v>52</v>
      </c>
    </row>
    <row r="83" spans="1:8">
      <c r="A83" s="3" t="s">
        <v>461</v>
      </c>
      <c r="B83" s="10" t="s">
        <v>10</v>
      </c>
      <c r="C83" s="3" t="s">
        <v>1686</v>
      </c>
      <c r="D83" s="3" t="s">
        <v>1687</v>
      </c>
      <c r="E83" s="3" t="s">
        <v>1688</v>
      </c>
      <c r="F83" s="3">
        <v>59</v>
      </c>
      <c r="G83" s="3" t="s">
        <v>358</v>
      </c>
      <c r="H83" s="3" t="s">
        <v>52</v>
      </c>
    </row>
    <row r="84" spans="1:8">
      <c r="A84" s="3" t="s">
        <v>1702</v>
      </c>
      <c r="B84" s="10" t="s">
        <v>10</v>
      </c>
      <c r="C84" s="3" t="s">
        <v>1686</v>
      </c>
      <c r="D84" s="3" t="s">
        <v>1687</v>
      </c>
      <c r="E84" s="3" t="s">
        <v>1688</v>
      </c>
      <c r="F84" s="3">
        <v>213</v>
      </c>
      <c r="G84" s="3" t="s">
        <v>358</v>
      </c>
      <c r="H84" s="3" t="s">
        <v>52</v>
      </c>
    </row>
    <row r="85" spans="1:8">
      <c r="A85" s="3" t="s">
        <v>1703</v>
      </c>
      <c r="B85" s="10" t="s">
        <v>10</v>
      </c>
      <c r="C85" s="3" t="s">
        <v>1686</v>
      </c>
      <c r="D85" s="3" t="s">
        <v>1687</v>
      </c>
      <c r="E85" s="3" t="s">
        <v>1688</v>
      </c>
      <c r="F85" s="3">
        <v>275</v>
      </c>
      <c r="G85" s="3" t="s">
        <v>358</v>
      </c>
      <c r="H85" s="3" t="s">
        <v>52</v>
      </c>
    </row>
    <row r="86" spans="1:8">
      <c r="A86" s="3" t="s">
        <v>1704</v>
      </c>
      <c r="B86" s="10" t="s">
        <v>10</v>
      </c>
      <c r="C86" s="3" t="s">
        <v>1686</v>
      </c>
      <c r="D86" s="3" t="s">
        <v>1687</v>
      </c>
      <c r="E86" s="3" t="s">
        <v>1688</v>
      </c>
      <c r="F86" s="3">
        <v>276</v>
      </c>
      <c r="G86" s="3" t="s">
        <v>358</v>
      </c>
      <c r="H86" s="3" t="s">
        <v>52</v>
      </c>
    </row>
    <row r="87" spans="1:8">
      <c r="A87" s="3" t="s">
        <v>705</v>
      </c>
      <c r="B87" s="10" t="s">
        <v>10</v>
      </c>
      <c r="C87" s="3" t="s">
        <v>1686</v>
      </c>
      <c r="D87" s="3" t="s">
        <v>1687</v>
      </c>
      <c r="E87" s="3" t="s">
        <v>1688</v>
      </c>
      <c r="F87" s="3">
        <v>74</v>
      </c>
      <c r="G87" s="3" t="s">
        <v>358</v>
      </c>
      <c r="H87" s="3" t="s">
        <v>52</v>
      </c>
    </row>
    <row r="88" spans="1:8">
      <c r="A88" s="3" t="s">
        <v>1267</v>
      </c>
      <c r="B88" s="10" t="s">
        <v>6</v>
      </c>
      <c r="C88" s="3" t="s">
        <v>1686</v>
      </c>
      <c r="D88" s="3" t="s">
        <v>1687</v>
      </c>
      <c r="E88" s="3" t="s">
        <v>1688</v>
      </c>
      <c r="F88" s="3">
        <v>16</v>
      </c>
      <c r="G88" s="3" t="s">
        <v>358</v>
      </c>
      <c r="H88" s="3" t="s">
        <v>52</v>
      </c>
    </row>
    <row r="89" spans="1:8">
      <c r="A89" s="3" t="s">
        <v>219</v>
      </c>
      <c r="B89" s="10" t="s">
        <v>10</v>
      </c>
      <c r="C89" s="3" t="s">
        <v>1686</v>
      </c>
      <c r="D89" s="3" t="s">
        <v>1687</v>
      </c>
      <c r="E89" s="3" t="s">
        <v>1688</v>
      </c>
      <c r="F89" s="3">
        <v>214</v>
      </c>
      <c r="G89" s="3" t="s">
        <v>358</v>
      </c>
      <c r="H89" s="3" t="s">
        <v>52</v>
      </c>
    </row>
    <row r="90" spans="1:8">
      <c r="A90" s="3" t="s">
        <v>276</v>
      </c>
      <c r="B90" s="10" t="s">
        <v>10</v>
      </c>
      <c r="C90" s="3" t="s">
        <v>1686</v>
      </c>
      <c r="D90" s="3" t="s">
        <v>1687</v>
      </c>
      <c r="E90" s="3" t="s">
        <v>1688</v>
      </c>
      <c r="F90" s="3">
        <v>75</v>
      </c>
      <c r="G90" s="3" t="s">
        <v>358</v>
      </c>
      <c r="H90" s="3" t="s">
        <v>52</v>
      </c>
    </row>
    <row r="91" spans="1:8">
      <c r="A91" s="3" t="s">
        <v>1705</v>
      </c>
      <c r="B91" s="10" t="s">
        <v>10</v>
      </c>
      <c r="C91" s="3" t="s">
        <v>1686</v>
      </c>
      <c r="D91" s="3" t="s">
        <v>1687</v>
      </c>
      <c r="E91" s="3" t="s">
        <v>1688</v>
      </c>
      <c r="F91" s="3">
        <v>215</v>
      </c>
      <c r="G91" s="3" t="s">
        <v>358</v>
      </c>
      <c r="H91" s="3" t="s">
        <v>52</v>
      </c>
    </row>
    <row r="92" spans="1:8">
      <c r="A92" s="3" t="s">
        <v>1706</v>
      </c>
      <c r="B92" s="10" t="s">
        <v>10</v>
      </c>
      <c r="C92" s="3" t="s">
        <v>1686</v>
      </c>
      <c r="D92" s="3" t="s">
        <v>1687</v>
      </c>
      <c r="E92" s="3" t="s">
        <v>1688</v>
      </c>
      <c r="F92" s="3">
        <v>277</v>
      </c>
      <c r="G92" s="3" t="s">
        <v>358</v>
      </c>
      <c r="H92" s="3" t="s">
        <v>52</v>
      </c>
    </row>
    <row r="93" spans="1:8">
      <c r="A93" s="3" t="s">
        <v>1500</v>
      </c>
      <c r="B93" s="10" t="s">
        <v>6</v>
      </c>
      <c r="C93" s="3" t="s">
        <v>1686</v>
      </c>
      <c r="D93" s="3" t="s">
        <v>1687</v>
      </c>
      <c r="E93" s="3" t="s">
        <v>1688</v>
      </c>
      <c r="F93" s="3">
        <v>17</v>
      </c>
      <c r="G93" s="3" t="s">
        <v>358</v>
      </c>
      <c r="H93" s="3" t="s">
        <v>52</v>
      </c>
    </row>
    <row r="94" spans="1:8">
      <c r="A94" s="3" t="s">
        <v>1404</v>
      </c>
      <c r="B94" s="10" t="s">
        <v>10</v>
      </c>
      <c r="C94" s="3" t="s">
        <v>1686</v>
      </c>
      <c r="D94" s="3" t="s">
        <v>1687</v>
      </c>
      <c r="E94" s="3" t="s">
        <v>1688</v>
      </c>
      <c r="F94" s="3">
        <v>346</v>
      </c>
      <c r="G94" s="3" t="s">
        <v>358</v>
      </c>
      <c r="H94" s="3" t="s">
        <v>52</v>
      </c>
    </row>
    <row r="95" spans="1:8">
      <c r="A95" s="3" t="s">
        <v>360</v>
      </c>
      <c r="B95" s="10" t="s">
        <v>10</v>
      </c>
      <c r="C95" s="3" t="s">
        <v>1686</v>
      </c>
      <c r="D95" s="3" t="s">
        <v>1687</v>
      </c>
      <c r="E95" s="3" t="s">
        <v>1688</v>
      </c>
      <c r="F95" s="3">
        <v>61</v>
      </c>
      <c r="G95" s="3" t="s">
        <v>358</v>
      </c>
      <c r="H95" s="3" t="s">
        <v>52</v>
      </c>
    </row>
    <row r="96" spans="1:8">
      <c r="A96" s="3" t="s">
        <v>1707</v>
      </c>
      <c r="B96" s="10" t="s">
        <v>10</v>
      </c>
      <c r="C96" s="3" t="s">
        <v>1686</v>
      </c>
      <c r="D96" s="3" t="s">
        <v>1687</v>
      </c>
      <c r="E96" s="3" t="s">
        <v>1688</v>
      </c>
      <c r="F96" s="3">
        <v>278</v>
      </c>
      <c r="G96" s="3" t="s">
        <v>358</v>
      </c>
      <c r="H96" s="3" t="s">
        <v>52</v>
      </c>
    </row>
    <row r="97" spans="1:8">
      <c r="A97" s="3" t="s">
        <v>1227</v>
      </c>
      <c r="B97" s="10" t="s">
        <v>6</v>
      </c>
      <c r="C97" s="3" t="s">
        <v>1686</v>
      </c>
      <c r="D97" s="3" t="s">
        <v>1687</v>
      </c>
      <c r="E97" s="3" t="s">
        <v>1688</v>
      </c>
      <c r="F97" s="3">
        <v>18</v>
      </c>
      <c r="G97" s="3" t="s">
        <v>358</v>
      </c>
      <c r="H97" s="3" t="s">
        <v>52</v>
      </c>
    </row>
    <row r="98" spans="1:8">
      <c r="A98" s="3" t="s">
        <v>1115</v>
      </c>
      <c r="B98" s="10" t="s">
        <v>10</v>
      </c>
      <c r="C98" s="3" t="s">
        <v>1686</v>
      </c>
      <c r="D98" s="3" t="s">
        <v>1687</v>
      </c>
      <c r="E98" s="3" t="s">
        <v>1688</v>
      </c>
      <c r="F98" s="3">
        <v>76</v>
      </c>
      <c r="G98" s="3" t="s">
        <v>358</v>
      </c>
      <c r="H98" s="3" t="s">
        <v>52</v>
      </c>
    </row>
    <row r="99" spans="1:8">
      <c r="A99" s="3" t="s">
        <v>852</v>
      </c>
      <c r="B99" s="10" t="s">
        <v>6</v>
      </c>
      <c r="C99" s="3" t="s">
        <v>1686</v>
      </c>
      <c r="D99" s="3" t="s">
        <v>1687</v>
      </c>
      <c r="E99" s="3" t="s">
        <v>1688</v>
      </c>
      <c r="F99" s="3">
        <v>19</v>
      </c>
      <c r="G99" s="3" t="s">
        <v>358</v>
      </c>
      <c r="H99" s="3" t="s">
        <v>52</v>
      </c>
    </row>
    <row r="100" spans="1:8">
      <c r="A100" s="3" t="s">
        <v>1526</v>
      </c>
      <c r="B100" s="10" t="s">
        <v>6</v>
      </c>
      <c r="C100" s="3" t="s">
        <v>1686</v>
      </c>
      <c r="D100" s="3" t="s">
        <v>1687</v>
      </c>
      <c r="E100" s="3" t="s">
        <v>1688</v>
      </c>
      <c r="F100" s="3">
        <v>20</v>
      </c>
      <c r="G100" s="3" t="s">
        <v>358</v>
      </c>
      <c r="H100" s="3" t="s">
        <v>52</v>
      </c>
    </row>
    <row r="101" spans="1:8">
      <c r="A101" s="3" t="s">
        <v>1085</v>
      </c>
      <c r="B101" s="10" t="s">
        <v>6</v>
      </c>
      <c r="C101" s="3" t="s">
        <v>1686</v>
      </c>
      <c r="D101" s="3" t="s">
        <v>1687</v>
      </c>
      <c r="E101" s="3" t="s">
        <v>1688</v>
      </c>
      <c r="F101" s="3">
        <v>77</v>
      </c>
      <c r="G101" s="3" t="s">
        <v>358</v>
      </c>
      <c r="H101" s="3" t="s">
        <v>52</v>
      </c>
    </row>
    <row r="102" spans="1:8">
      <c r="A102" s="3" t="s">
        <v>1708</v>
      </c>
      <c r="B102" s="10" t="s">
        <v>10</v>
      </c>
      <c r="C102" s="3" t="s">
        <v>1686</v>
      </c>
      <c r="D102" s="3" t="s">
        <v>1687</v>
      </c>
      <c r="E102" s="3" t="s">
        <v>1688</v>
      </c>
      <c r="F102" s="3">
        <v>279</v>
      </c>
      <c r="G102" s="3" t="s">
        <v>358</v>
      </c>
      <c r="H102" s="3" t="s">
        <v>52</v>
      </c>
    </row>
    <row r="103" spans="1:8">
      <c r="A103" s="3" t="s">
        <v>1709</v>
      </c>
      <c r="B103" s="10" t="s">
        <v>10</v>
      </c>
      <c r="C103" s="3" t="s">
        <v>1686</v>
      </c>
      <c r="D103" s="3" t="s">
        <v>1687</v>
      </c>
      <c r="E103" s="3" t="s">
        <v>1688</v>
      </c>
      <c r="F103" s="3">
        <v>216</v>
      </c>
      <c r="G103" s="3" t="s">
        <v>358</v>
      </c>
      <c r="H103" s="3" t="s">
        <v>52</v>
      </c>
    </row>
    <row r="104" spans="1:8">
      <c r="A104" s="3" t="s">
        <v>1710</v>
      </c>
      <c r="B104" s="10" t="s">
        <v>10</v>
      </c>
      <c r="C104" s="3" t="s">
        <v>1686</v>
      </c>
      <c r="D104" s="3" t="s">
        <v>1687</v>
      </c>
      <c r="E104" s="3" t="s">
        <v>1688</v>
      </c>
      <c r="F104" s="3">
        <v>217</v>
      </c>
      <c r="G104" s="3" t="s">
        <v>358</v>
      </c>
      <c r="H104" s="3" t="s">
        <v>52</v>
      </c>
    </row>
    <row r="105" spans="1:8">
      <c r="A105" s="3" t="s">
        <v>1711</v>
      </c>
      <c r="B105" s="10" t="s">
        <v>10</v>
      </c>
      <c r="C105" s="3" t="s">
        <v>1686</v>
      </c>
      <c r="D105" s="3" t="s">
        <v>1687</v>
      </c>
      <c r="E105" s="3" t="s">
        <v>1688</v>
      </c>
      <c r="F105" s="3">
        <v>218</v>
      </c>
      <c r="G105" s="3" t="s">
        <v>358</v>
      </c>
      <c r="H105" s="3" t="s">
        <v>52</v>
      </c>
    </row>
    <row r="106" spans="1:8">
      <c r="A106" s="3" t="s">
        <v>196</v>
      </c>
      <c r="B106" s="10" t="s">
        <v>10</v>
      </c>
      <c r="C106" s="3" t="s">
        <v>1686</v>
      </c>
      <c r="D106" s="3" t="s">
        <v>1687</v>
      </c>
      <c r="E106" s="3" t="s">
        <v>1688</v>
      </c>
      <c r="F106" s="3">
        <v>351</v>
      </c>
      <c r="G106" s="3" t="s">
        <v>358</v>
      </c>
      <c r="H106" s="3" t="s">
        <v>52</v>
      </c>
    </row>
    <row r="107" spans="1:8">
      <c r="A107" s="3" t="s">
        <v>1712</v>
      </c>
      <c r="B107" s="10" t="s">
        <v>10</v>
      </c>
      <c r="C107" s="3" t="s">
        <v>1686</v>
      </c>
      <c r="D107" s="3" t="s">
        <v>1687</v>
      </c>
      <c r="E107" s="3" t="s">
        <v>1688</v>
      </c>
      <c r="F107" s="3">
        <v>146</v>
      </c>
      <c r="G107" s="3" t="s">
        <v>358</v>
      </c>
      <c r="H107" s="3" t="s">
        <v>52</v>
      </c>
    </row>
    <row r="108" spans="1:8">
      <c r="A108" s="3" t="s">
        <v>1713</v>
      </c>
      <c r="B108" s="10" t="s">
        <v>10</v>
      </c>
      <c r="C108" s="3" t="s">
        <v>1686</v>
      </c>
      <c r="D108" s="3" t="s">
        <v>1687</v>
      </c>
      <c r="E108" s="3" t="s">
        <v>1688</v>
      </c>
      <c r="F108" s="3">
        <v>280</v>
      </c>
      <c r="G108" s="3" t="s">
        <v>358</v>
      </c>
      <c r="H108" s="3" t="s">
        <v>52</v>
      </c>
    </row>
    <row r="109" spans="1:8">
      <c r="A109" s="3" t="s">
        <v>1071</v>
      </c>
      <c r="B109" s="10" t="s">
        <v>6</v>
      </c>
      <c r="C109" s="3" t="s">
        <v>1686</v>
      </c>
      <c r="D109" s="3" t="s">
        <v>1687</v>
      </c>
      <c r="E109" s="3" t="s">
        <v>1688</v>
      </c>
      <c r="F109" s="3">
        <v>21</v>
      </c>
      <c r="G109" s="3" t="s">
        <v>358</v>
      </c>
      <c r="H109" s="3" t="s">
        <v>52</v>
      </c>
    </row>
    <row r="110" spans="1:8">
      <c r="A110" s="3" t="s">
        <v>953</v>
      </c>
      <c r="B110" s="10" t="s">
        <v>10</v>
      </c>
      <c r="C110" s="3" t="s">
        <v>1686</v>
      </c>
      <c r="D110" s="3" t="s">
        <v>1687</v>
      </c>
      <c r="E110" s="3" t="s">
        <v>1688</v>
      </c>
      <c r="F110" s="3">
        <v>342</v>
      </c>
      <c r="G110" s="3" t="s">
        <v>358</v>
      </c>
      <c r="H110" s="3" t="s">
        <v>52</v>
      </c>
    </row>
    <row r="111" spans="1:8">
      <c r="A111" s="3" t="s">
        <v>1442</v>
      </c>
      <c r="B111" s="10" t="s">
        <v>6</v>
      </c>
      <c r="C111" s="3" t="s">
        <v>1686</v>
      </c>
      <c r="D111" s="3" t="s">
        <v>1687</v>
      </c>
      <c r="E111" s="3" t="s">
        <v>1688</v>
      </c>
      <c r="F111" s="3">
        <v>22</v>
      </c>
      <c r="G111" s="3" t="s">
        <v>358</v>
      </c>
      <c r="H111" s="3" t="s">
        <v>52</v>
      </c>
    </row>
    <row r="112" spans="1:8">
      <c r="A112" s="3" t="s">
        <v>1714</v>
      </c>
      <c r="B112" s="10" t="s">
        <v>10</v>
      </c>
      <c r="C112" s="3" t="s">
        <v>1686</v>
      </c>
      <c r="D112" s="3" t="s">
        <v>1687</v>
      </c>
      <c r="E112" s="3" t="s">
        <v>1688</v>
      </c>
      <c r="F112" s="3">
        <v>281</v>
      </c>
      <c r="G112" s="3" t="s">
        <v>358</v>
      </c>
      <c r="H112" s="3" t="s">
        <v>52</v>
      </c>
    </row>
    <row r="113" spans="1:8">
      <c r="A113" s="3" t="s">
        <v>1715</v>
      </c>
      <c r="B113" s="10" t="s">
        <v>10</v>
      </c>
      <c r="C113" s="3" t="s">
        <v>1686</v>
      </c>
      <c r="D113" s="3" t="s">
        <v>1687</v>
      </c>
      <c r="E113" s="3" t="s">
        <v>1688</v>
      </c>
      <c r="F113" s="3">
        <v>219</v>
      </c>
      <c r="G113" s="3" t="s">
        <v>358</v>
      </c>
      <c r="H113" s="3" t="s">
        <v>52</v>
      </c>
    </row>
    <row r="114" spans="1:8">
      <c r="A114" s="3" t="s">
        <v>1206</v>
      </c>
      <c r="B114" s="10" t="s">
        <v>10</v>
      </c>
      <c r="C114" s="3" t="s">
        <v>1686</v>
      </c>
      <c r="D114" s="3" t="s">
        <v>1687</v>
      </c>
      <c r="E114" s="3" t="s">
        <v>1688</v>
      </c>
      <c r="F114" s="3">
        <v>107</v>
      </c>
      <c r="G114" s="3" t="s">
        <v>358</v>
      </c>
      <c r="H114" s="3" t="s">
        <v>52</v>
      </c>
    </row>
    <row r="115" spans="1:8">
      <c r="A115" s="3" t="s">
        <v>957</v>
      </c>
      <c r="B115" s="10" t="s">
        <v>10</v>
      </c>
      <c r="C115" s="3" t="s">
        <v>1686</v>
      </c>
      <c r="D115" s="3" t="s">
        <v>1687</v>
      </c>
      <c r="E115" s="3" t="s">
        <v>1688</v>
      </c>
      <c r="F115" s="3">
        <v>282</v>
      </c>
      <c r="G115" s="3" t="s">
        <v>358</v>
      </c>
      <c r="H115" s="3" t="s">
        <v>52</v>
      </c>
    </row>
    <row r="116" spans="1:8">
      <c r="A116" s="3" t="s">
        <v>943</v>
      </c>
      <c r="B116" s="10" t="s">
        <v>6</v>
      </c>
      <c r="C116" s="3" t="s">
        <v>1686</v>
      </c>
      <c r="D116" s="3" t="s">
        <v>1687</v>
      </c>
      <c r="E116" s="3" t="s">
        <v>1688</v>
      </c>
      <c r="F116" s="3">
        <v>23</v>
      </c>
      <c r="G116" s="3" t="s">
        <v>358</v>
      </c>
      <c r="H116" s="3" t="s">
        <v>52</v>
      </c>
    </row>
    <row r="117" spans="1:8">
      <c r="A117" s="3" t="s">
        <v>167</v>
      </c>
      <c r="B117" s="10" t="s">
        <v>10</v>
      </c>
      <c r="C117" s="3" t="s">
        <v>1686</v>
      </c>
      <c r="D117" s="3" t="s">
        <v>1687</v>
      </c>
      <c r="E117" s="3" t="s">
        <v>1688</v>
      </c>
      <c r="F117" s="3">
        <v>147</v>
      </c>
      <c r="G117" s="3" t="s">
        <v>358</v>
      </c>
      <c r="H117" s="3" t="s">
        <v>52</v>
      </c>
    </row>
    <row r="118" spans="1:8">
      <c r="A118" s="3" t="s">
        <v>1716</v>
      </c>
      <c r="B118" s="10" t="s">
        <v>10</v>
      </c>
      <c r="C118" s="3" t="s">
        <v>1686</v>
      </c>
      <c r="D118" s="3" t="s">
        <v>1687</v>
      </c>
      <c r="E118" s="3" t="s">
        <v>1688</v>
      </c>
      <c r="F118" s="3">
        <v>283</v>
      </c>
      <c r="G118" s="3" t="s">
        <v>358</v>
      </c>
      <c r="H118" s="3" t="s">
        <v>52</v>
      </c>
    </row>
    <row r="119" spans="1:8">
      <c r="A119" s="3" t="s">
        <v>834</v>
      </c>
      <c r="B119" s="10" t="s">
        <v>8</v>
      </c>
      <c r="C119" s="3" t="s">
        <v>1686</v>
      </c>
      <c r="D119" s="3" t="s">
        <v>1687</v>
      </c>
      <c r="E119" s="3" t="s">
        <v>1688</v>
      </c>
      <c r="F119" s="3">
        <v>220</v>
      </c>
      <c r="G119" s="3" t="s">
        <v>358</v>
      </c>
      <c r="H119" s="3" t="s">
        <v>52</v>
      </c>
    </row>
    <row r="120" spans="1:8">
      <c r="A120" s="3" t="s">
        <v>470</v>
      </c>
      <c r="B120" s="10" t="s">
        <v>10</v>
      </c>
      <c r="C120" s="3" t="s">
        <v>1686</v>
      </c>
      <c r="D120" s="3" t="s">
        <v>1687</v>
      </c>
      <c r="E120" s="3" t="s">
        <v>1688</v>
      </c>
      <c r="F120" s="3">
        <v>284</v>
      </c>
      <c r="G120" s="3" t="s">
        <v>358</v>
      </c>
      <c r="H120" s="3" t="s">
        <v>52</v>
      </c>
    </row>
    <row r="121" spans="1:8">
      <c r="A121" s="3" t="s">
        <v>1717</v>
      </c>
      <c r="B121" s="10" t="s">
        <v>10</v>
      </c>
      <c r="C121" s="3" t="s">
        <v>1686</v>
      </c>
      <c r="D121" s="3" t="s">
        <v>1687</v>
      </c>
      <c r="E121" s="3" t="s">
        <v>1688</v>
      </c>
      <c r="F121" s="3">
        <v>285</v>
      </c>
      <c r="G121" s="3" t="s">
        <v>358</v>
      </c>
      <c r="H121" s="3" t="s">
        <v>52</v>
      </c>
    </row>
    <row r="122" spans="1:8">
      <c r="A122" s="3" t="s">
        <v>515</v>
      </c>
      <c r="B122" s="10" t="s">
        <v>10</v>
      </c>
      <c r="C122" s="3" t="s">
        <v>1686</v>
      </c>
      <c r="D122" s="3" t="s">
        <v>1687</v>
      </c>
      <c r="E122" s="3" t="s">
        <v>1688</v>
      </c>
      <c r="F122" s="3">
        <v>161</v>
      </c>
      <c r="G122" s="3" t="s">
        <v>358</v>
      </c>
      <c r="H122" s="3" t="s">
        <v>52</v>
      </c>
    </row>
    <row r="123" spans="1:8">
      <c r="A123" s="3" t="s">
        <v>1508</v>
      </c>
      <c r="B123" s="10" t="s">
        <v>10</v>
      </c>
      <c r="C123" s="3" t="s">
        <v>1686</v>
      </c>
      <c r="D123" s="3" t="s">
        <v>1687</v>
      </c>
      <c r="E123" s="3" t="s">
        <v>1688</v>
      </c>
      <c r="F123" s="3">
        <v>286</v>
      </c>
      <c r="G123" s="3" t="s">
        <v>358</v>
      </c>
      <c r="H123" s="3" t="s">
        <v>52</v>
      </c>
    </row>
    <row r="124" spans="1:8">
      <c r="A124" s="3" t="s">
        <v>1258</v>
      </c>
      <c r="B124" s="10" t="s">
        <v>6</v>
      </c>
      <c r="C124" s="3" t="s">
        <v>1686</v>
      </c>
      <c r="D124" s="3" t="s">
        <v>1687</v>
      </c>
      <c r="E124" s="3" t="s">
        <v>1688</v>
      </c>
      <c r="F124" s="3">
        <v>24</v>
      </c>
      <c r="G124" s="3" t="s">
        <v>358</v>
      </c>
      <c r="H124" s="3" t="s">
        <v>52</v>
      </c>
    </row>
    <row r="125" spans="1:8">
      <c r="A125" s="3" t="s">
        <v>1718</v>
      </c>
      <c r="B125" s="10" t="s">
        <v>10</v>
      </c>
      <c r="C125" s="3" t="s">
        <v>1686</v>
      </c>
      <c r="D125" s="3" t="s">
        <v>1687</v>
      </c>
      <c r="E125" s="3" t="s">
        <v>1688</v>
      </c>
      <c r="F125" s="3">
        <v>287</v>
      </c>
      <c r="G125" s="3" t="s">
        <v>358</v>
      </c>
      <c r="H125" s="3" t="s">
        <v>52</v>
      </c>
    </row>
    <row r="126" spans="1:8">
      <c r="A126" s="3" t="s">
        <v>1719</v>
      </c>
      <c r="B126" s="10" t="s">
        <v>10</v>
      </c>
      <c r="C126" s="3" t="s">
        <v>1686</v>
      </c>
      <c r="D126" s="3" t="s">
        <v>1687</v>
      </c>
      <c r="E126" s="3" t="s">
        <v>1688</v>
      </c>
      <c r="F126" s="3">
        <v>288</v>
      </c>
      <c r="G126" s="3" t="s">
        <v>358</v>
      </c>
      <c r="H126" s="3" t="s">
        <v>52</v>
      </c>
    </row>
    <row r="127" spans="1:8">
      <c r="A127" s="3" t="s">
        <v>1720</v>
      </c>
      <c r="B127" s="10" t="s">
        <v>10</v>
      </c>
      <c r="C127" s="3" t="s">
        <v>1686</v>
      </c>
      <c r="D127" s="3" t="s">
        <v>1687</v>
      </c>
      <c r="E127" s="3" t="s">
        <v>1688</v>
      </c>
      <c r="F127" s="3">
        <v>221</v>
      </c>
      <c r="G127" s="3" t="s">
        <v>358</v>
      </c>
      <c r="H127" s="3" t="s">
        <v>52</v>
      </c>
    </row>
    <row r="128" spans="1:8">
      <c r="A128" s="3" t="s">
        <v>285</v>
      </c>
      <c r="B128" s="10" t="s">
        <v>10</v>
      </c>
      <c r="C128" s="3" t="s">
        <v>1686</v>
      </c>
      <c r="D128" s="3" t="s">
        <v>1687</v>
      </c>
      <c r="E128" s="3" t="s">
        <v>1688</v>
      </c>
      <c r="F128" s="3">
        <v>222</v>
      </c>
      <c r="G128" s="3" t="s">
        <v>358</v>
      </c>
      <c r="H128" s="3" t="s">
        <v>52</v>
      </c>
    </row>
    <row r="129" spans="1:8">
      <c r="A129" s="3" t="s">
        <v>1721</v>
      </c>
      <c r="B129" s="10" t="s">
        <v>10</v>
      </c>
      <c r="C129" s="3" t="s">
        <v>1686</v>
      </c>
      <c r="D129" s="3" t="s">
        <v>1687</v>
      </c>
      <c r="E129" s="3" t="s">
        <v>1688</v>
      </c>
      <c r="F129" s="3">
        <v>223</v>
      </c>
      <c r="G129" s="3" t="s">
        <v>358</v>
      </c>
      <c r="H129" s="3" t="s">
        <v>52</v>
      </c>
    </row>
    <row r="130" spans="1:8">
      <c r="A130" s="3" t="s">
        <v>308</v>
      </c>
      <c r="B130" s="10" t="s">
        <v>10</v>
      </c>
      <c r="C130" s="3" t="s">
        <v>1686</v>
      </c>
      <c r="D130" s="3" t="s">
        <v>1687</v>
      </c>
      <c r="E130" s="3" t="s">
        <v>1688</v>
      </c>
      <c r="F130" s="3">
        <v>148</v>
      </c>
      <c r="G130" s="3" t="s">
        <v>358</v>
      </c>
      <c r="H130" s="3" t="s">
        <v>52</v>
      </c>
    </row>
    <row r="131" spans="1:8">
      <c r="A131" s="3" t="s">
        <v>1353</v>
      </c>
      <c r="B131" s="10" t="s">
        <v>10</v>
      </c>
      <c r="C131" s="3" t="s">
        <v>1686</v>
      </c>
      <c r="D131" s="3" t="s">
        <v>1687</v>
      </c>
      <c r="E131" s="3" t="s">
        <v>1688</v>
      </c>
      <c r="F131" s="3">
        <v>108</v>
      </c>
      <c r="G131" s="3" t="s">
        <v>358</v>
      </c>
      <c r="H131" s="3" t="s">
        <v>52</v>
      </c>
    </row>
    <row r="132" spans="1:8">
      <c r="A132" s="3" t="s">
        <v>1029</v>
      </c>
      <c r="B132" s="10" t="s">
        <v>6</v>
      </c>
      <c r="C132" s="3" t="s">
        <v>1686</v>
      </c>
      <c r="D132" s="3" t="s">
        <v>1687</v>
      </c>
      <c r="E132" s="3" t="s">
        <v>1688</v>
      </c>
      <c r="F132" s="3">
        <v>25</v>
      </c>
      <c r="G132" s="3" t="s">
        <v>358</v>
      </c>
      <c r="H132" s="3" t="s">
        <v>52</v>
      </c>
    </row>
    <row r="133" spans="1:8">
      <c r="A133" s="3" t="s">
        <v>1722</v>
      </c>
      <c r="B133" s="10" t="s">
        <v>10</v>
      </c>
      <c r="C133" s="3" t="s">
        <v>1686</v>
      </c>
      <c r="D133" s="3" t="s">
        <v>1687</v>
      </c>
      <c r="E133" s="3" t="s">
        <v>1688</v>
      </c>
      <c r="F133" s="3">
        <v>224</v>
      </c>
      <c r="G133" s="3" t="s">
        <v>358</v>
      </c>
      <c r="H133" s="3" t="s">
        <v>52</v>
      </c>
    </row>
    <row r="134" spans="1:8">
      <c r="A134" s="3" t="s">
        <v>843</v>
      </c>
      <c r="B134" s="10" t="s">
        <v>8</v>
      </c>
      <c r="C134" s="3" t="s">
        <v>1686</v>
      </c>
      <c r="D134" s="3" t="s">
        <v>1687</v>
      </c>
      <c r="E134" s="3" t="s">
        <v>1688</v>
      </c>
      <c r="F134" s="3">
        <v>289</v>
      </c>
      <c r="G134" s="3" t="s">
        <v>358</v>
      </c>
      <c r="H134" s="3" t="s">
        <v>52</v>
      </c>
    </row>
    <row r="135" spans="1:8">
      <c r="A135" s="3" t="s">
        <v>1670</v>
      </c>
      <c r="B135" s="10" t="s">
        <v>10</v>
      </c>
      <c r="C135" s="3" t="s">
        <v>1686</v>
      </c>
      <c r="D135" s="3" t="s">
        <v>1687</v>
      </c>
      <c r="E135" s="3" t="s">
        <v>1688</v>
      </c>
      <c r="F135" s="3">
        <v>290</v>
      </c>
      <c r="G135" s="3" t="s">
        <v>358</v>
      </c>
      <c r="H135" s="3" t="s">
        <v>52</v>
      </c>
    </row>
    <row r="136" spans="1:8">
      <c r="A136" s="3" t="s">
        <v>1295</v>
      </c>
      <c r="B136" s="10" t="s">
        <v>10</v>
      </c>
      <c r="C136" s="3" t="s">
        <v>1686</v>
      </c>
      <c r="D136" s="3" t="s">
        <v>1687</v>
      </c>
      <c r="E136" s="3" t="s">
        <v>1688</v>
      </c>
      <c r="F136" s="3">
        <v>62</v>
      </c>
      <c r="G136" s="3" t="s">
        <v>358</v>
      </c>
      <c r="H136" s="3" t="s">
        <v>52</v>
      </c>
    </row>
    <row r="137" spans="1:8">
      <c r="A137" s="3" t="s">
        <v>1134</v>
      </c>
      <c r="B137" s="10" t="s">
        <v>8</v>
      </c>
      <c r="C137" s="3" t="s">
        <v>1686</v>
      </c>
      <c r="D137" s="3" t="s">
        <v>1687</v>
      </c>
      <c r="E137" s="3" t="s">
        <v>1688</v>
      </c>
      <c r="F137" s="3">
        <v>78</v>
      </c>
      <c r="G137" s="3" t="s">
        <v>358</v>
      </c>
      <c r="H137" s="3" t="s">
        <v>52</v>
      </c>
    </row>
    <row r="138" spans="1:8">
      <c r="A138" s="3" t="s">
        <v>807</v>
      </c>
      <c r="B138" s="10" t="s">
        <v>10</v>
      </c>
      <c r="C138" s="3" t="s">
        <v>1686</v>
      </c>
      <c r="D138" s="3" t="s">
        <v>1687</v>
      </c>
      <c r="E138" s="3" t="s">
        <v>1688</v>
      </c>
      <c r="F138" s="3">
        <v>63</v>
      </c>
      <c r="G138" s="3" t="s">
        <v>358</v>
      </c>
      <c r="H138" s="3" t="s">
        <v>52</v>
      </c>
    </row>
    <row r="139" spans="1:8">
      <c r="A139" s="3" t="s">
        <v>1098</v>
      </c>
      <c r="B139" s="10" t="s">
        <v>10</v>
      </c>
      <c r="C139" s="3" t="s">
        <v>1686</v>
      </c>
      <c r="D139" s="3" t="s">
        <v>1687</v>
      </c>
      <c r="E139" s="3" t="s">
        <v>1688</v>
      </c>
      <c r="F139" s="3">
        <v>225</v>
      </c>
      <c r="G139" s="3" t="s">
        <v>358</v>
      </c>
      <c r="H139" s="3" t="s">
        <v>52</v>
      </c>
    </row>
    <row r="140" spans="1:8">
      <c r="A140" s="3" t="s">
        <v>207</v>
      </c>
      <c r="B140" s="10" t="s">
        <v>10</v>
      </c>
      <c r="C140" s="3" t="s">
        <v>1686</v>
      </c>
      <c r="D140" s="3" t="s">
        <v>1687</v>
      </c>
      <c r="E140" s="3" t="s">
        <v>1688</v>
      </c>
      <c r="F140" s="3">
        <v>64</v>
      </c>
      <c r="G140" s="3" t="s">
        <v>358</v>
      </c>
      <c r="H140" s="3" t="s">
        <v>52</v>
      </c>
    </row>
    <row r="141" spans="1:8">
      <c r="A141" s="3" t="s">
        <v>976</v>
      </c>
      <c r="B141" s="10" t="s">
        <v>6</v>
      </c>
      <c r="C141" s="3" t="s">
        <v>1686</v>
      </c>
      <c r="D141" s="3" t="s">
        <v>1687</v>
      </c>
      <c r="E141" s="3" t="s">
        <v>1688</v>
      </c>
      <c r="F141" s="3">
        <v>26</v>
      </c>
      <c r="G141" s="3" t="s">
        <v>358</v>
      </c>
      <c r="H141" s="3" t="s">
        <v>52</v>
      </c>
    </row>
    <row r="142" spans="1:8">
      <c r="A142" s="3" t="s">
        <v>1723</v>
      </c>
      <c r="B142" s="10" t="s">
        <v>10</v>
      </c>
      <c r="C142" s="3" t="s">
        <v>1686</v>
      </c>
      <c r="D142" s="3" t="s">
        <v>1687</v>
      </c>
      <c r="E142" s="3" t="s">
        <v>1688</v>
      </c>
      <c r="F142" s="3">
        <v>162</v>
      </c>
      <c r="G142" s="3" t="s">
        <v>358</v>
      </c>
      <c r="H142" s="3" t="s">
        <v>52</v>
      </c>
    </row>
    <row r="143" spans="1:8">
      <c r="A143" s="3" t="s">
        <v>1075</v>
      </c>
      <c r="B143" s="10" t="s">
        <v>10</v>
      </c>
      <c r="C143" s="3" t="s">
        <v>1686</v>
      </c>
      <c r="D143" s="3" t="s">
        <v>1687</v>
      </c>
      <c r="E143" s="3" t="s">
        <v>1688</v>
      </c>
      <c r="F143" s="3">
        <v>163</v>
      </c>
      <c r="G143" s="3" t="s">
        <v>358</v>
      </c>
      <c r="H143" s="3" t="s">
        <v>52</v>
      </c>
    </row>
    <row r="144" spans="1:8">
      <c r="A144" s="3" t="s">
        <v>184</v>
      </c>
      <c r="B144" s="10" t="s">
        <v>10</v>
      </c>
      <c r="C144" s="3" t="s">
        <v>1686</v>
      </c>
      <c r="D144" s="3" t="s">
        <v>1687</v>
      </c>
      <c r="E144" s="3" t="s">
        <v>1688</v>
      </c>
      <c r="F144" s="3">
        <v>52</v>
      </c>
      <c r="G144" s="3" t="s">
        <v>358</v>
      </c>
      <c r="H144" s="3" t="s">
        <v>52</v>
      </c>
    </row>
    <row r="145" spans="1:8">
      <c r="A145" s="3" t="s">
        <v>877</v>
      </c>
      <c r="B145" s="10" t="s">
        <v>6</v>
      </c>
      <c r="C145" s="3" t="s">
        <v>1686</v>
      </c>
      <c r="D145" s="3" t="s">
        <v>1687</v>
      </c>
      <c r="E145" s="3" t="s">
        <v>1688</v>
      </c>
      <c r="F145" s="3">
        <v>27</v>
      </c>
      <c r="G145" s="3" t="s">
        <v>358</v>
      </c>
      <c r="H145" s="3" t="s">
        <v>52</v>
      </c>
    </row>
    <row r="146" spans="1:8">
      <c r="A146" s="3" t="s">
        <v>1587</v>
      </c>
      <c r="B146" s="10" t="s">
        <v>6</v>
      </c>
      <c r="C146" s="3" t="s">
        <v>1686</v>
      </c>
      <c r="D146" s="3" t="s">
        <v>1687</v>
      </c>
      <c r="E146" s="3" t="s">
        <v>1688</v>
      </c>
      <c r="F146" s="3">
        <v>28</v>
      </c>
      <c r="G146" s="3" t="s">
        <v>358</v>
      </c>
      <c r="H146" s="3" t="s">
        <v>52</v>
      </c>
    </row>
    <row r="147" spans="1:8">
      <c r="A147" s="3" t="s">
        <v>552</v>
      </c>
      <c r="B147" s="10" t="s">
        <v>10</v>
      </c>
      <c r="C147" s="3" t="s">
        <v>1686</v>
      </c>
      <c r="D147" s="3" t="s">
        <v>1687</v>
      </c>
      <c r="E147" s="3" t="s">
        <v>1688</v>
      </c>
      <c r="F147" s="3">
        <v>226</v>
      </c>
      <c r="G147" s="3" t="s">
        <v>358</v>
      </c>
      <c r="H147" s="3" t="s">
        <v>52</v>
      </c>
    </row>
    <row r="148" spans="1:8">
      <c r="A148" s="3" t="s">
        <v>731</v>
      </c>
      <c r="B148" s="10" t="s">
        <v>8</v>
      </c>
      <c r="C148" s="3" t="s">
        <v>1686</v>
      </c>
      <c r="D148" s="3" t="s">
        <v>1687</v>
      </c>
      <c r="E148" s="3" t="s">
        <v>1688</v>
      </c>
      <c r="F148" s="3">
        <v>79</v>
      </c>
      <c r="G148" s="3" t="s">
        <v>358</v>
      </c>
      <c r="H148" s="3" t="s">
        <v>52</v>
      </c>
    </row>
    <row r="149" spans="1:8">
      <c r="A149" s="3" t="s">
        <v>1724</v>
      </c>
      <c r="B149" s="10" t="s">
        <v>10</v>
      </c>
      <c r="C149" s="3" t="s">
        <v>1686</v>
      </c>
      <c r="D149" s="3" t="s">
        <v>1687</v>
      </c>
      <c r="E149" s="3" t="s">
        <v>1688</v>
      </c>
      <c r="F149" s="3">
        <v>291</v>
      </c>
      <c r="G149" s="3" t="s">
        <v>358</v>
      </c>
      <c r="H149" s="3" t="s">
        <v>52</v>
      </c>
    </row>
    <row r="150" spans="1:8">
      <c r="A150" s="3" t="s">
        <v>1725</v>
      </c>
      <c r="B150" s="10" t="s">
        <v>10</v>
      </c>
      <c r="C150" s="3" t="s">
        <v>1686</v>
      </c>
      <c r="D150" s="3" t="s">
        <v>1687</v>
      </c>
      <c r="E150" s="3" t="s">
        <v>1688</v>
      </c>
      <c r="F150" s="3">
        <v>149</v>
      </c>
      <c r="G150" s="3" t="s">
        <v>358</v>
      </c>
      <c r="H150" s="3" t="s">
        <v>52</v>
      </c>
    </row>
    <row r="151" spans="1:8">
      <c r="A151" s="3" t="s">
        <v>1094</v>
      </c>
      <c r="B151" s="10" t="s">
        <v>10</v>
      </c>
      <c r="C151" s="3" t="s">
        <v>1686</v>
      </c>
      <c r="D151" s="3" t="s">
        <v>1687</v>
      </c>
      <c r="E151" s="3" t="s">
        <v>1688</v>
      </c>
      <c r="F151" s="3">
        <v>109</v>
      </c>
      <c r="G151" s="3" t="s">
        <v>358</v>
      </c>
      <c r="H151" s="3" t="s">
        <v>52</v>
      </c>
    </row>
    <row r="152" spans="1:8">
      <c r="A152" s="3" t="s">
        <v>1726</v>
      </c>
      <c r="B152" s="10" t="s">
        <v>10</v>
      </c>
      <c r="C152" s="3" t="s">
        <v>1686</v>
      </c>
      <c r="D152" s="3" t="s">
        <v>1687</v>
      </c>
      <c r="E152" s="3" t="s">
        <v>1688</v>
      </c>
      <c r="F152" s="3">
        <v>227</v>
      </c>
      <c r="G152" s="3" t="s">
        <v>358</v>
      </c>
      <c r="H152" s="3" t="s">
        <v>52</v>
      </c>
    </row>
    <row r="153" spans="1:8">
      <c r="A153" s="3" t="s">
        <v>1608</v>
      </c>
      <c r="B153" s="10" t="s">
        <v>10</v>
      </c>
      <c r="C153" s="3" t="s">
        <v>1686</v>
      </c>
      <c r="D153" s="3" t="s">
        <v>1687</v>
      </c>
      <c r="E153" s="3" t="s">
        <v>1688</v>
      </c>
      <c r="F153" s="3">
        <v>110</v>
      </c>
      <c r="G153" s="3" t="s">
        <v>358</v>
      </c>
      <c r="H153" s="3" t="s">
        <v>52</v>
      </c>
    </row>
    <row r="154" spans="1:8">
      <c r="A154" s="3" t="s">
        <v>935</v>
      </c>
      <c r="B154" s="10" t="s">
        <v>6</v>
      </c>
      <c r="C154" s="3" t="s">
        <v>1686</v>
      </c>
      <c r="D154" s="3" t="s">
        <v>1687</v>
      </c>
      <c r="E154" s="3" t="s">
        <v>1688</v>
      </c>
      <c r="F154" s="3">
        <v>29</v>
      </c>
      <c r="G154" s="3" t="s">
        <v>358</v>
      </c>
      <c r="H154" s="3" t="s">
        <v>52</v>
      </c>
    </row>
    <row r="155" spans="1:8">
      <c r="A155" s="3" t="s">
        <v>627</v>
      </c>
      <c r="B155" s="10" t="s">
        <v>10</v>
      </c>
      <c r="C155" s="3" t="s">
        <v>1686</v>
      </c>
      <c r="D155" s="3" t="s">
        <v>1687</v>
      </c>
      <c r="E155" s="3" t="s">
        <v>1688</v>
      </c>
      <c r="F155" s="3">
        <v>228</v>
      </c>
      <c r="G155" s="3" t="s">
        <v>358</v>
      </c>
      <c r="H155" s="3" t="s">
        <v>52</v>
      </c>
    </row>
    <row r="156" spans="1:8">
      <c r="A156" s="3" t="s">
        <v>311</v>
      </c>
      <c r="B156" s="10" t="s">
        <v>10</v>
      </c>
      <c r="C156" s="3" t="s">
        <v>1686</v>
      </c>
      <c r="D156" s="3" t="s">
        <v>1687</v>
      </c>
      <c r="E156" s="3" t="s">
        <v>1688</v>
      </c>
      <c r="F156" s="3">
        <v>292</v>
      </c>
      <c r="G156" s="3" t="s">
        <v>358</v>
      </c>
      <c r="H156" s="3" t="s">
        <v>52</v>
      </c>
    </row>
    <row r="157" spans="1:8">
      <c r="A157" s="3" t="s">
        <v>864</v>
      </c>
      <c r="B157" s="10" t="s">
        <v>8</v>
      </c>
      <c r="C157" s="3" t="s">
        <v>1686</v>
      </c>
      <c r="D157" s="3" t="s">
        <v>1687</v>
      </c>
      <c r="E157" s="3" t="s">
        <v>1688</v>
      </c>
      <c r="F157" s="3">
        <v>293</v>
      </c>
      <c r="G157" s="3" t="s">
        <v>358</v>
      </c>
      <c r="H157" s="3" t="s">
        <v>52</v>
      </c>
    </row>
    <row r="158" spans="1:8">
      <c r="A158" s="3" t="s">
        <v>1309</v>
      </c>
      <c r="B158" s="10" t="s">
        <v>10</v>
      </c>
      <c r="C158" s="3" t="s">
        <v>1686</v>
      </c>
      <c r="D158" s="3" t="s">
        <v>1687</v>
      </c>
      <c r="E158" s="3" t="s">
        <v>1688</v>
      </c>
      <c r="F158" s="3">
        <v>229</v>
      </c>
      <c r="G158" s="3" t="s">
        <v>358</v>
      </c>
      <c r="H158" s="3" t="s">
        <v>52</v>
      </c>
    </row>
    <row r="159" spans="1:8">
      <c r="A159" s="3" t="s">
        <v>193</v>
      </c>
      <c r="B159" s="10" t="s">
        <v>10</v>
      </c>
      <c r="C159" s="3" t="s">
        <v>1686</v>
      </c>
      <c r="D159" s="3" t="s">
        <v>1687</v>
      </c>
      <c r="E159" s="3" t="s">
        <v>1688</v>
      </c>
      <c r="F159" s="3">
        <v>294</v>
      </c>
      <c r="G159" s="3" t="s">
        <v>358</v>
      </c>
      <c r="H159" s="3" t="s">
        <v>52</v>
      </c>
    </row>
    <row r="160" spans="1:8">
      <c r="A160" s="3" t="s">
        <v>1317</v>
      </c>
      <c r="B160" s="10" t="s">
        <v>10</v>
      </c>
      <c r="C160" s="3" t="s">
        <v>1686</v>
      </c>
      <c r="D160" s="3" t="s">
        <v>1687</v>
      </c>
      <c r="E160" s="3" t="s">
        <v>1688</v>
      </c>
      <c r="F160" s="3">
        <v>347</v>
      </c>
      <c r="G160" s="3" t="s">
        <v>358</v>
      </c>
      <c r="H160" s="3" t="s">
        <v>52</v>
      </c>
    </row>
    <row r="161" spans="1:8">
      <c r="A161" s="3" t="s">
        <v>1727</v>
      </c>
      <c r="B161" s="10" t="s">
        <v>10</v>
      </c>
      <c r="C161" s="3" t="s">
        <v>1686</v>
      </c>
      <c r="D161" s="3" t="s">
        <v>1687</v>
      </c>
      <c r="E161" s="3" t="s">
        <v>1688</v>
      </c>
      <c r="F161" s="3">
        <v>176</v>
      </c>
      <c r="G161" s="3" t="s">
        <v>358</v>
      </c>
      <c r="H161" s="3" t="s">
        <v>52</v>
      </c>
    </row>
    <row r="162" spans="1:8">
      <c r="A162" s="3" t="s">
        <v>1728</v>
      </c>
      <c r="B162" s="10" t="s">
        <v>10</v>
      </c>
      <c r="C162" s="3" t="s">
        <v>1686</v>
      </c>
      <c r="D162" s="3" t="s">
        <v>1687</v>
      </c>
      <c r="E162" s="3" t="s">
        <v>1688</v>
      </c>
      <c r="F162" s="3">
        <v>230</v>
      </c>
      <c r="G162" s="3" t="s">
        <v>358</v>
      </c>
      <c r="H162" s="3" t="s">
        <v>52</v>
      </c>
    </row>
    <row r="163" spans="1:8">
      <c r="A163" s="3" t="s">
        <v>294</v>
      </c>
      <c r="B163" s="10" t="s">
        <v>10</v>
      </c>
      <c r="C163" s="3" t="s">
        <v>1686</v>
      </c>
      <c r="D163" s="3" t="s">
        <v>1687</v>
      </c>
      <c r="E163" s="3" t="s">
        <v>1688</v>
      </c>
      <c r="F163" s="3">
        <v>231</v>
      </c>
      <c r="G163" s="3" t="s">
        <v>358</v>
      </c>
      <c r="H163" s="3" t="s">
        <v>52</v>
      </c>
    </row>
    <row r="164" spans="1:8">
      <c r="A164" s="3" t="s">
        <v>1055</v>
      </c>
      <c r="B164" s="10" t="s">
        <v>8</v>
      </c>
      <c r="C164" s="3" t="s">
        <v>1686</v>
      </c>
      <c r="D164" s="3" t="s">
        <v>1687</v>
      </c>
      <c r="E164" s="3" t="s">
        <v>1688</v>
      </c>
      <c r="F164" s="3">
        <v>295</v>
      </c>
      <c r="G164" s="3" t="s">
        <v>358</v>
      </c>
      <c r="H164" s="3" t="s">
        <v>52</v>
      </c>
    </row>
    <row r="165" spans="1:8">
      <c r="A165" s="3" t="s">
        <v>1389</v>
      </c>
      <c r="B165" s="10" t="s">
        <v>10</v>
      </c>
      <c r="C165" s="3" t="s">
        <v>1686</v>
      </c>
      <c r="D165" s="3" t="s">
        <v>1687</v>
      </c>
      <c r="E165" s="3" t="s">
        <v>1688</v>
      </c>
      <c r="F165" s="3">
        <v>111</v>
      </c>
      <c r="G165" s="3" t="s">
        <v>358</v>
      </c>
      <c r="H165" s="3" t="s">
        <v>52</v>
      </c>
    </row>
    <row r="166" spans="1:8">
      <c r="A166" s="3" t="s">
        <v>1138</v>
      </c>
      <c r="B166" s="10" t="s">
        <v>6</v>
      </c>
      <c r="C166" s="3" t="s">
        <v>1686</v>
      </c>
      <c r="D166" s="3" t="s">
        <v>1687</v>
      </c>
      <c r="E166" s="3" t="s">
        <v>1688</v>
      </c>
      <c r="F166" s="3">
        <v>30</v>
      </c>
      <c r="G166" s="3" t="s">
        <v>358</v>
      </c>
      <c r="H166" s="3" t="s">
        <v>52</v>
      </c>
    </row>
    <row r="167" spans="1:8">
      <c r="A167" s="3" t="s">
        <v>782</v>
      </c>
      <c r="B167" s="10" t="s">
        <v>10</v>
      </c>
      <c r="C167" s="3" t="s">
        <v>1686</v>
      </c>
      <c r="D167" s="3" t="s">
        <v>1687</v>
      </c>
      <c r="E167" s="3" t="s">
        <v>1688</v>
      </c>
      <c r="F167" s="3">
        <v>112</v>
      </c>
      <c r="G167" s="3" t="s">
        <v>358</v>
      </c>
      <c r="H167" s="3" t="s">
        <v>52</v>
      </c>
    </row>
    <row r="168" spans="1:8">
      <c r="A168" s="3" t="s">
        <v>898</v>
      </c>
      <c r="B168" s="10" t="s">
        <v>10</v>
      </c>
      <c r="C168" s="3" t="s">
        <v>1686</v>
      </c>
      <c r="D168" s="3" t="s">
        <v>1687</v>
      </c>
      <c r="E168" s="3" t="s">
        <v>1688</v>
      </c>
      <c r="F168" s="3">
        <v>232</v>
      </c>
      <c r="G168" s="3" t="s">
        <v>358</v>
      </c>
      <c r="H168" s="3" t="s">
        <v>52</v>
      </c>
    </row>
    <row r="169" spans="1:8">
      <c r="A169" s="3" t="s">
        <v>655</v>
      </c>
      <c r="B169" s="10" t="s">
        <v>10</v>
      </c>
      <c r="C169" s="3" t="s">
        <v>1686</v>
      </c>
      <c r="D169" s="3" t="s">
        <v>1687</v>
      </c>
      <c r="E169" s="3" t="s">
        <v>1688</v>
      </c>
      <c r="F169" s="3">
        <v>113</v>
      </c>
      <c r="G169" s="3" t="s">
        <v>358</v>
      </c>
      <c r="H169" s="3" t="s">
        <v>52</v>
      </c>
    </row>
    <row r="170" spans="1:8">
      <c r="A170" s="3" t="s">
        <v>456</v>
      </c>
      <c r="B170" s="10" t="s">
        <v>6</v>
      </c>
      <c r="C170" s="3" t="s">
        <v>1686</v>
      </c>
      <c r="D170" s="3" t="s">
        <v>1687</v>
      </c>
      <c r="E170" s="3" t="s">
        <v>1688</v>
      </c>
      <c r="F170" s="3">
        <v>80</v>
      </c>
      <c r="G170" s="3" t="s">
        <v>358</v>
      </c>
      <c r="H170" s="3" t="s">
        <v>52</v>
      </c>
    </row>
    <row r="171" spans="1:8">
      <c r="A171" s="3" t="s">
        <v>681</v>
      </c>
      <c r="B171" s="10" t="s">
        <v>6</v>
      </c>
      <c r="C171" s="3" t="s">
        <v>1686</v>
      </c>
      <c r="D171" s="3" t="s">
        <v>1687</v>
      </c>
      <c r="E171" s="3" t="s">
        <v>1688</v>
      </c>
      <c r="F171" s="3">
        <v>81</v>
      </c>
      <c r="G171" s="3" t="s">
        <v>358</v>
      </c>
      <c r="H171" s="3" t="s">
        <v>52</v>
      </c>
    </row>
    <row r="172" spans="1:8">
      <c r="A172" s="3" t="s">
        <v>314</v>
      </c>
      <c r="B172" s="10" t="s">
        <v>10</v>
      </c>
      <c r="C172" s="3" t="s">
        <v>1686</v>
      </c>
      <c r="D172" s="3" t="s">
        <v>1687</v>
      </c>
      <c r="E172" s="3" t="s">
        <v>1688</v>
      </c>
      <c r="F172" s="3">
        <v>233</v>
      </c>
      <c r="G172" s="3" t="s">
        <v>358</v>
      </c>
      <c r="H172" s="3" t="s">
        <v>52</v>
      </c>
    </row>
    <row r="173" spans="1:8">
      <c r="A173" s="3" t="s">
        <v>1675</v>
      </c>
      <c r="B173" s="10" t="s">
        <v>6</v>
      </c>
      <c r="C173" s="3" t="s">
        <v>1686</v>
      </c>
      <c r="D173" s="3" t="s">
        <v>1687</v>
      </c>
      <c r="E173" s="3" t="s">
        <v>1688</v>
      </c>
      <c r="F173" s="3">
        <v>31</v>
      </c>
      <c r="G173" s="3" t="s">
        <v>358</v>
      </c>
      <c r="H173" s="3" t="s">
        <v>52</v>
      </c>
    </row>
    <row r="174" spans="1:8">
      <c r="A174" s="3" t="s">
        <v>1066</v>
      </c>
      <c r="B174" s="10" t="s">
        <v>10</v>
      </c>
      <c r="C174" s="3" t="s">
        <v>1686</v>
      </c>
      <c r="D174" s="3" t="s">
        <v>1687</v>
      </c>
      <c r="E174" s="3" t="s">
        <v>1688</v>
      </c>
      <c r="F174" s="3">
        <v>348</v>
      </c>
      <c r="G174" s="3" t="s">
        <v>358</v>
      </c>
      <c r="H174" s="3" t="s">
        <v>52</v>
      </c>
    </row>
    <row r="175" spans="1:8">
      <c r="A175" s="3" t="s">
        <v>331</v>
      </c>
      <c r="B175" s="10" t="s">
        <v>10</v>
      </c>
      <c r="C175" s="3" t="s">
        <v>1686</v>
      </c>
      <c r="D175" s="3" t="s">
        <v>1687</v>
      </c>
      <c r="E175" s="3" t="s">
        <v>1688</v>
      </c>
      <c r="F175" s="3">
        <v>150</v>
      </c>
      <c r="G175" s="3" t="s">
        <v>358</v>
      </c>
      <c r="H175" s="3" t="s">
        <v>52</v>
      </c>
    </row>
    <row r="176" spans="1:8">
      <c r="A176" s="3" t="s">
        <v>1729</v>
      </c>
      <c r="B176" s="10" t="s">
        <v>10</v>
      </c>
      <c r="C176" s="3" t="s">
        <v>1686</v>
      </c>
      <c r="D176" s="3" t="s">
        <v>1687</v>
      </c>
      <c r="E176" s="3" t="s">
        <v>1688</v>
      </c>
      <c r="F176" s="3">
        <v>177</v>
      </c>
      <c r="G176" s="3" t="s">
        <v>358</v>
      </c>
      <c r="H176" s="3" t="s">
        <v>52</v>
      </c>
    </row>
    <row r="177" spans="1:8">
      <c r="A177" s="3" t="s">
        <v>1730</v>
      </c>
      <c r="B177" s="10" t="s">
        <v>10</v>
      </c>
      <c r="C177" s="3" t="s">
        <v>1686</v>
      </c>
      <c r="D177" s="3" t="s">
        <v>1687</v>
      </c>
      <c r="E177" s="3" t="s">
        <v>1688</v>
      </c>
      <c r="F177" s="3">
        <v>234</v>
      </c>
      <c r="G177" s="3" t="s">
        <v>358</v>
      </c>
      <c r="H177" s="3" t="s">
        <v>52</v>
      </c>
    </row>
    <row r="178" spans="1:8">
      <c r="A178" s="3" t="s">
        <v>794</v>
      </c>
      <c r="B178" s="10" t="s">
        <v>10</v>
      </c>
      <c r="C178" s="3" t="s">
        <v>1686</v>
      </c>
      <c r="D178" s="3" t="s">
        <v>1687</v>
      </c>
      <c r="E178" s="3" t="s">
        <v>1688</v>
      </c>
      <c r="F178" s="3">
        <v>114</v>
      </c>
      <c r="G178" s="3" t="s">
        <v>358</v>
      </c>
      <c r="H178" s="3" t="s">
        <v>52</v>
      </c>
    </row>
    <row r="179" spans="1:8">
      <c r="A179" s="3" t="s">
        <v>328</v>
      </c>
      <c r="B179" s="10" t="s">
        <v>10</v>
      </c>
      <c r="C179" s="3" t="s">
        <v>1686</v>
      </c>
      <c r="D179" s="3" t="s">
        <v>1687</v>
      </c>
      <c r="E179" s="3" t="s">
        <v>1688</v>
      </c>
      <c r="F179" s="3">
        <v>235</v>
      </c>
      <c r="G179" s="3" t="s">
        <v>358</v>
      </c>
      <c r="H179" s="3" t="s">
        <v>52</v>
      </c>
    </row>
    <row r="180" spans="1:8">
      <c r="A180" s="3" t="s">
        <v>1731</v>
      </c>
      <c r="B180" s="10" t="s">
        <v>10</v>
      </c>
      <c r="C180" s="3" t="s">
        <v>1686</v>
      </c>
      <c r="D180" s="3" t="s">
        <v>1687</v>
      </c>
      <c r="E180" s="3" t="s">
        <v>1688</v>
      </c>
      <c r="F180" s="3">
        <v>236</v>
      </c>
      <c r="G180" s="3" t="s">
        <v>358</v>
      </c>
      <c r="H180" s="3" t="s">
        <v>52</v>
      </c>
    </row>
    <row r="181" spans="1:8">
      <c r="A181" s="3" t="s">
        <v>1732</v>
      </c>
      <c r="B181" s="10" t="s">
        <v>10</v>
      </c>
      <c r="C181" s="3" t="s">
        <v>1686</v>
      </c>
      <c r="D181" s="3" t="s">
        <v>1687</v>
      </c>
      <c r="E181" s="3" t="s">
        <v>1688</v>
      </c>
      <c r="F181" s="3">
        <v>296</v>
      </c>
      <c r="G181" s="3" t="s">
        <v>358</v>
      </c>
      <c r="H181" s="3" t="s">
        <v>52</v>
      </c>
    </row>
    <row r="182" spans="1:8">
      <c r="A182" s="3" t="s">
        <v>989</v>
      </c>
      <c r="B182" s="10" t="s">
        <v>10</v>
      </c>
      <c r="C182" s="3" t="s">
        <v>1686</v>
      </c>
      <c r="D182" s="3" t="s">
        <v>1687</v>
      </c>
      <c r="E182" s="3" t="s">
        <v>1688</v>
      </c>
      <c r="F182" s="3">
        <v>178</v>
      </c>
      <c r="G182" s="3" t="s">
        <v>358</v>
      </c>
      <c r="H182" s="3" t="s">
        <v>52</v>
      </c>
    </row>
    <row r="183" spans="1:8">
      <c r="A183" s="3" t="s">
        <v>1733</v>
      </c>
      <c r="B183" s="10" t="s">
        <v>10</v>
      </c>
      <c r="C183" s="3" t="s">
        <v>1686</v>
      </c>
      <c r="D183" s="3" t="s">
        <v>1687</v>
      </c>
      <c r="E183" s="3" t="s">
        <v>1688</v>
      </c>
      <c r="F183" s="3">
        <v>237</v>
      </c>
      <c r="G183" s="3" t="s">
        <v>358</v>
      </c>
      <c r="H183" s="3" t="s">
        <v>52</v>
      </c>
    </row>
    <row r="184" spans="1:8">
      <c r="A184" s="3" t="s">
        <v>994</v>
      </c>
      <c r="B184" s="10" t="s">
        <v>8</v>
      </c>
      <c r="C184" s="3" t="s">
        <v>1686</v>
      </c>
      <c r="D184" s="3" t="s">
        <v>1687</v>
      </c>
      <c r="E184" s="3" t="s">
        <v>1688</v>
      </c>
      <c r="F184" s="3">
        <v>82</v>
      </c>
      <c r="G184" s="3" t="s">
        <v>358</v>
      </c>
      <c r="H184" s="3" t="s">
        <v>52</v>
      </c>
    </row>
    <row r="185" spans="1:8">
      <c r="A185" s="3" t="s">
        <v>1277</v>
      </c>
      <c r="B185" s="10" t="s">
        <v>6</v>
      </c>
      <c r="C185" s="3" t="s">
        <v>1686</v>
      </c>
      <c r="D185" s="3" t="s">
        <v>1687</v>
      </c>
      <c r="E185" s="3" t="s">
        <v>1688</v>
      </c>
      <c r="F185" s="3">
        <v>32</v>
      </c>
      <c r="G185" s="3" t="s">
        <v>358</v>
      </c>
      <c r="H185" s="3" t="s">
        <v>52</v>
      </c>
    </row>
    <row r="186" spans="1:8">
      <c r="A186" s="3" t="s">
        <v>1734</v>
      </c>
      <c r="B186" s="10" t="s">
        <v>10</v>
      </c>
      <c r="C186" s="3" t="s">
        <v>1686</v>
      </c>
      <c r="D186" s="3" t="s">
        <v>1687</v>
      </c>
      <c r="E186" s="3" t="s">
        <v>1688</v>
      </c>
      <c r="F186" s="3">
        <v>297</v>
      </c>
      <c r="G186" s="3" t="s">
        <v>358</v>
      </c>
      <c r="H186" s="3" t="s">
        <v>52</v>
      </c>
    </row>
    <row r="187" spans="1:8">
      <c r="A187" s="3" t="s">
        <v>446</v>
      </c>
      <c r="B187" s="10" t="s">
        <v>10</v>
      </c>
      <c r="C187" s="3" t="s">
        <v>1686</v>
      </c>
      <c r="D187" s="3" t="s">
        <v>1687</v>
      </c>
      <c r="E187" s="3" t="s">
        <v>1688</v>
      </c>
      <c r="F187" s="3">
        <v>238</v>
      </c>
      <c r="G187" s="3" t="s">
        <v>358</v>
      </c>
      <c r="H187" s="3" t="s">
        <v>52</v>
      </c>
    </row>
    <row r="188" spans="1:8">
      <c r="A188" s="3" t="s">
        <v>1735</v>
      </c>
      <c r="B188" s="10" t="s">
        <v>10</v>
      </c>
      <c r="C188" s="3" t="s">
        <v>1686</v>
      </c>
      <c r="D188" s="3" t="s">
        <v>1687</v>
      </c>
      <c r="E188" s="3" t="s">
        <v>1688</v>
      </c>
      <c r="F188" s="3">
        <v>179</v>
      </c>
      <c r="G188" s="3" t="s">
        <v>358</v>
      </c>
      <c r="H188" s="3" t="s">
        <v>52</v>
      </c>
    </row>
    <row r="189" spans="1:8">
      <c r="A189" s="3" t="s">
        <v>485</v>
      </c>
      <c r="B189" s="10" t="s">
        <v>6</v>
      </c>
      <c r="C189" s="3" t="s">
        <v>1686</v>
      </c>
      <c r="D189" s="3" t="s">
        <v>1687</v>
      </c>
      <c r="E189" s="3" t="s">
        <v>1688</v>
      </c>
      <c r="F189" s="3">
        <v>33</v>
      </c>
      <c r="G189" s="3" t="s">
        <v>358</v>
      </c>
      <c r="H189" s="3" t="s">
        <v>52</v>
      </c>
    </row>
    <row r="190" spans="1:8">
      <c r="A190" s="3" t="s">
        <v>323</v>
      </c>
      <c r="B190" s="10" t="s">
        <v>10</v>
      </c>
      <c r="C190" s="3" t="s">
        <v>1686</v>
      </c>
      <c r="D190" s="3" t="s">
        <v>1687</v>
      </c>
      <c r="E190" s="3" t="s">
        <v>1688</v>
      </c>
      <c r="F190" s="3">
        <v>155</v>
      </c>
      <c r="G190" s="3" t="s">
        <v>358</v>
      </c>
      <c r="H190" s="3" t="s">
        <v>52</v>
      </c>
    </row>
    <row r="191" spans="1:8">
      <c r="A191" s="3" t="s">
        <v>889</v>
      </c>
      <c r="B191" s="10" t="s">
        <v>6</v>
      </c>
      <c r="C191" s="3" t="s">
        <v>1686</v>
      </c>
      <c r="D191" s="3" t="s">
        <v>1687</v>
      </c>
      <c r="E191" s="3" t="s">
        <v>1688</v>
      </c>
      <c r="F191" s="3">
        <v>34</v>
      </c>
      <c r="G191" s="3" t="s">
        <v>358</v>
      </c>
      <c r="H191" s="3" t="s">
        <v>52</v>
      </c>
    </row>
    <row r="192" spans="1:8">
      <c r="A192" s="3" t="s">
        <v>1736</v>
      </c>
      <c r="B192" s="10" t="s">
        <v>10</v>
      </c>
      <c r="C192" s="3" t="s">
        <v>1686</v>
      </c>
      <c r="D192" s="3" t="s">
        <v>1687</v>
      </c>
      <c r="E192" s="3" t="s">
        <v>1688</v>
      </c>
      <c r="F192" s="3">
        <v>239</v>
      </c>
      <c r="G192" s="3" t="s">
        <v>358</v>
      </c>
      <c r="H192" s="3" t="s">
        <v>52</v>
      </c>
    </row>
    <row r="193" spans="1:8">
      <c r="A193" s="3" t="s">
        <v>1737</v>
      </c>
      <c r="B193" s="10" t="s">
        <v>10</v>
      </c>
      <c r="C193" s="3" t="s">
        <v>1686</v>
      </c>
      <c r="D193" s="3" t="s">
        <v>1687</v>
      </c>
      <c r="E193" s="3" t="s">
        <v>1688</v>
      </c>
      <c r="F193" s="3">
        <v>240</v>
      </c>
      <c r="G193" s="3" t="s">
        <v>358</v>
      </c>
      <c r="H193" s="3" t="s">
        <v>52</v>
      </c>
    </row>
    <row r="194" spans="1:8">
      <c r="A194" s="3" t="s">
        <v>1738</v>
      </c>
      <c r="B194" s="10" t="s">
        <v>10</v>
      </c>
      <c r="C194" s="3" t="s">
        <v>1686</v>
      </c>
      <c r="D194" s="3" t="s">
        <v>1687</v>
      </c>
      <c r="E194" s="3" t="s">
        <v>1688</v>
      </c>
      <c r="F194" s="3">
        <v>241</v>
      </c>
      <c r="G194" s="3" t="s">
        <v>358</v>
      </c>
      <c r="H194" s="3" t="s">
        <v>52</v>
      </c>
    </row>
    <row r="195" spans="1:8">
      <c r="A195" s="3" t="s">
        <v>1362</v>
      </c>
      <c r="B195" s="10" t="s">
        <v>10</v>
      </c>
      <c r="C195" s="3" t="s">
        <v>1686</v>
      </c>
      <c r="D195" s="3" t="s">
        <v>1687</v>
      </c>
      <c r="E195" s="3" t="s">
        <v>1688</v>
      </c>
      <c r="F195" s="3">
        <v>349</v>
      </c>
      <c r="G195" s="3" t="s">
        <v>358</v>
      </c>
      <c r="H195" s="3" t="s">
        <v>52</v>
      </c>
    </row>
    <row r="196" spans="1:8">
      <c r="A196" s="3" t="s">
        <v>175</v>
      </c>
      <c r="B196" s="10" t="s">
        <v>10</v>
      </c>
      <c r="C196" s="3" t="s">
        <v>1686</v>
      </c>
      <c r="D196" s="3" t="s">
        <v>1687</v>
      </c>
      <c r="E196" s="3" t="s">
        <v>1688</v>
      </c>
      <c r="F196" s="3">
        <v>298</v>
      </c>
      <c r="G196" s="3" t="s">
        <v>358</v>
      </c>
      <c r="H196" s="3" t="s">
        <v>52</v>
      </c>
    </row>
    <row r="197" spans="1:8">
      <c r="A197" s="3" t="s">
        <v>1739</v>
      </c>
      <c r="B197" s="10" t="s">
        <v>10</v>
      </c>
      <c r="C197" s="3" t="s">
        <v>1686</v>
      </c>
      <c r="D197" s="3" t="s">
        <v>1687</v>
      </c>
      <c r="E197" s="3" t="s">
        <v>1688</v>
      </c>
      <c r="F197" s="3">
        <v>242</v>
      </c>
      <c r="G197" s="3" t="s">
        <v>358</v>
      </c>
      <c r="H197" s="3" t="s">
        <v>52</v>
      </c>
    </row>
    <row r="198" spans="1:8">
      <c r="A198" s="3" t="s">
        <v>1740</v>
      </c>
      <c r="B198" s="10" t="s">
        <v>10</v>
      </c>
      <c r="C198" s="3" t="s">
        <v>1686</v>
      </c>
      <c r="D198" s="3" t="s">
        <v>1687</v>
      </c>
      <c r="E198" s="3" t="s">
        <v>1688</v>
      </c>
      <c r="F198" s="3">
        <v>164</v>
      </c>
      <c r="G198" s="3" t="s">
        <v>358</v>
      </c>
      <c r="H198" s="3" t="s">
        <v>52</v>
      </c>
    </row>
    <row r="199" spans="1:8">
      <c r="A199" s="3" t="s">
        <v>1741</v>
      </c>
      <c r="B199" s="10" t="s">
        <v>10</v>
      </c>
      <c r="C199" s="3" t="s">
        <v>1686</v>
      </c>
      <c r="D199" s="3" t="s">
        <v>1687</v>
      </c>
      <c r="E199" s="3" t="s">
        <v>1688</v>
      </c>
      <c r="F199" s="3">
        <v>180</v>
      </c>
      <c r="G199" s="3" t="s">
        <v>358</v>
      </c>
      <c r="H199" s="3" t="s">
        <v>52</v>
      </c>
    </row>
    <row r="200" spans="1:8">
      <c r="A200" s="3" t="s">
        <v>187</v>
      </c>
      <c r="B200" s="10" t="s">
        <v>10</v>
      </c>
      <c r="C200" s="3" t="s">
        <v>1686</v>
      </c>
      <c r="D200" s="3" t="s">
        <v>1687</v>
      </c>
      <c r="E200" s="3" t="s">
        <v>1688</v>
      </c>
      <c r="F200" s="3">
        <v>165</v>
      </c>
      <c r="G200" s="3" t="s">
        <v>358</v>
      </c>
      <c r="H200" s="3" t="s">
        <v>52</v>
      </c>
    </row>
    <row r="201" spans="1:8">
      <c r="A201" s="3" t="s">
        <v>1089</v>
      </c>
      <c r="B201" s="10" t="s">
        <v>10</v>
      </c>
      <c r="C201" s="3" t="s">
        <v>1686</v>
      </c>
      <c r="D201" s="3" t="s">
        <v>1687</v>
      </c>
      <c r="E201" s="3" t="s">
        <v>1688</v>
      </c>
      <c r="F201" s="3">
        <v>115</v>
      </c>
      <c r="G201" s="3" t="s">
        <v>358</v>
      </c>
      <c r="H201" s="3" t="s">
        <v>52</v>
      </c>
    </row>
    <row r="202" spans="1:8">
      <c r="A202" s="3" t="s">
        <v>1742</v>
      </c>
      <c r="B202" s="10" t="s">
        <v>10</v>
      </c>
      <c r="C202" s="3" t="s">
        <v>1686</v>
      </c>
      <c r="D202" s="3" t="s">
        <v>1687</v>
      </c>
      <c r="E202" s="3" t="s">
        <v>1688</v>
      </c>
      <c r="F202" s="3">
        <v>299</v>
      </c>
      <c r="G202" s="3" t="s">
        <v>358</v>
      </c>
      <c r="H202" s="3" t="s">
        <v>52</v>
      </c>
    </row>
    <row r="203" spans="1:8">
      <c r="A203" s="3" t="s">
        <v>540</v>
      </c>
      <c r="B203" s="10" t="s">
        <v>10</v>
      </c>
      <c r="C203" s="3" t="s">
        <v>1686</v>
      </c>
      <c r="D203" s="3" t="s">
        <v>1687</v>
      </c>
      <c r="E203" s="3" t="s">
        <v>1688</v>
      </c>
      <c r="F203" s="3">
        <v>181</v>
      </c>
      <c r="G203" s="3" t="s">
        <v>358</v>
      </c>
      <c r="H203" s="3" t="s">
        <v>52</v>
      </c>
    </row>
    <row r="204" spans="1:8">
      <c r="A204" s="3" t="s">
        <v>1743</v>
      </c>
      <c r="B204" s="10" t="s">
        <v>10</v>
      </c>
      <c r="C204" s="3" t="s">
        <v>1686</v>
      </c>
      <c r="D204" s="3" t="s">
        <v>1687</v>
      </c>
      <c r="E204" s="3" t="s">
        <v>1688</v>
      </c>
      <c r="F204" s="3">
        <v>243</v>
      </c>
      <c r="G204" s="3" t="s">
        <v>358</v>
      </c>
      <c r="H204" s="3" t="s">
        <v>52</v>
      </c>
    </row>
    <row r="205" spans="1:8">
      <c r="A205" s="3" t="s">
        <v>1744</v>
      </c>
      <c r="B205" s="10" t="s">
        <v>10</v>
      </c>
      <c r="C205" s="3" t="s">
        <v>1686</v>
      </c>
      <c r="D205" s="3" t="s">
        <v>1687</v>
      </c>
      <c r="E205" s="3" t="s">
        <v>1688</v>
      </c>
      <c r="F205" s="3">
        <v>300</v>
      </c>
      <c r="G205" s="3" t="s">
        <v>358</v>
      </c>
      <c r="H205" s="3" t="s">
        <v>52</v>
      </c>
    </row>
    <row r="206" spans="1:8">
      <c r="A206" s="3" t="s">
        <v>918</v>
      </c>
      <c r="B206" s="10" t="s">
        <v>10</v>
      </c>
      <c r="C206" s="3" t="s">
        <v>1686</v>
      </c>
      <c r="D206" s="3" t="s">
        <v>1687</v>
      </c>
      <c r="E206" s="3" t="s">
        <v>1688</v>
      </c>
      <c r="F206" s="3">
        <v>244</v>
      </c>
      <c r="G206" s="3" t="s">
        <v>358</v>
      </c>
      <c r="H206" s="3" t="s">
        <v>52</v>
      </c>
    </row>
    <row r="207" spans="1:8">
      <c r="A207" s="3" t="s">
        <v>421</v>
      </c>
      <c r="B207" s="10" t="s">
        <v>10</v>
      </c>
      <c r="C207" s="3" t="s">
        <v>1686</v>
      </c>
      <c r="D207" s="3" t="s">
        <v>1687</v>
      </c>
      <c r="E207" s="3" t="s">
        <v>1688</v>
      </c>
      <c r="F207" s="3">
        <v>245</v>
      </c>
      <c r="G207" s="3" t="s">
        <v>358</v>
      </c>
      <c r="H207" s="3" t="s">
        <v>52</v>
      </c>
    </row>
    <row r="208" spans="1:8">
      <c r="A208" s="3" t="s">
        <v>213</v>
      </c>
      <c r="B208" s="10" t="s">
        <v>10</v>
      </c>
      <c r="C208" s="3" t="s">
        <v>1686</v>
      </c>
      <c r="D208" s="3" t="s">
        <v>1687</v>
      </c>
      <c r="E208" s="3" t="s">
        <v>1688</v>
      </c>
      <c r="F208" s="3">
        <v>246</v>
      </c>
      <c r="G208" s="3" t="s">
        <v>358</v>
      </c>
      <c r="H208" s="3" t="s">
        <v>52</v>
      </c>
    </row>
    <row r="209" spans="1:8">
      <c r="A209" s="3" t="s">
        <v>1745</v>
      </c>
      <c r="B209" s="10" t="s">
        <v>10</v>
      </c>
      <c r="C209" s="3" t="s">
        <v>1686</v>
      </c>
      <c r="D209" s="3" t="s">
        <v>1687</v>
      </c>
      <c r="E209" s="3" t="s">
        <v>1688</v>
      </c>
      <c r="F209" s="3">
        <v>301</v>
      </c>
      <c r="G209" s="3" t="s">
        <v>358</v>
      </c>
      <c r="H209" s="3" t="s">
        <v>52</v>
      </c>
    </row>
    <row r="210" spans="1:8">
      <c r="A210" s="3" t="s">
        <v>282</v>
      </c>
      <c r="B210" s="10" t="s">
        <v>10</v>
      </c>
      <c r="C210" s="3" t="s">
        <v>1686</v>
      </c>
      <c r="D210" s="3" t="s">
        <v>1687</v>
      </c>
      <c r="E210" s="3" t="s">
        <v>1688</v>
      </c>
      <c r="F210" s="3">
        <v>302</v>
      </c>
      <c r="G210" s="3" t="s">
        <v>358</v>
      </c>
      <c r="H210" s="3" t="s">
        <v>52</v>
      </c>
    </row>
    <row r="211" spans="1:8">
      <c r="A211" s="3" t="s">
        <v>249</v>
      </c>
      <c r="B211" s="10" t="s">
        <v>10</v>
      </c>
      <c r="C211" s="3" t="s">
        <v>1686</v>
      </c>
      <c r="D211" s="3" t="s">
        <v>1687</v>
      </c>
      <c r="E211" s="3" t="s">
        <v>1688</v>
      </c>
      <c r="F211" s="3">
        <v>65</v>
      </c>
      <c r="G211" s="3" t="s">
        <v>358</v>
      </c>
      <c r="H211" s="3" t="s">
        <v>52</v>
      </c>
    </row>
    <row r="212" spans="1:8">
      <c r="A212" s="3" t="s">
        <v>812</v>
      </c>
      <c r="B212" s="10" t="s">
        <v>8</v>
      </c>
      <c r="C212" s="3" t="s">
        <v>1686</v>
      </c>
      <c r="D212" s="3" t="s">
        <v>1687</v>
      </c>
      <c r="E212" s="3" t="s">
        <v>1688</v>
      </c>
      <c r="F212" s="3">
        <v>51</v>
      </c>
      <c r="G212" s="3" t="s">
        <v>358</v>
      </c>
      <c r="H212" s="3" t="s">
        <v>52</v>
      </c>
    </row>
    <row r="213" spans="1:8">
      <c r="A213" s="3" t="s">
        <v>1432</v>
      </c>
      <c r="B213" s="10" t="s">
        <v>6</v>
      </c>
      <c r="C213" s="3" t="s">
        <v>1686</v>
      </c>
      <c r="D213" s="3" t="s">
        <v>1687</v>
      </c>
      <c r="E213" s="3" t="s">
        <v>1688</v>
      </c>
      <c r="F213" s="3">
        <v>35</v>
      </c>
      <c r="G213" s="3" t="s">
        <v>358</v>
      </c>
      <c r="H213" s="3" t="s">
        <v>52</v>
      </c>
    </row>
    <row r="214" spans="1:8">
      <c r="A214" s="3" t="s">
        <v>1746</v>
      </c>
      <c r="B214" s="10" t="s">
        <v>10</v>
      </c>
      <c r="C214" s="3" t="s">
        <v>1686</v>
      </c>
      <c r="D214" s="3" t="s">
        <v>1687</v>
      </c>
      <c r="E214" s="3" t="s">
        <v>1688</v>
      </c>
      <c r="F214" s="3">
        <v>247</v>
      </c>
      <c r="G214" s="3" t="s">
        <v>358</v>
      </c>
      <c r="H214" s="3" t="s">
        <v>52</v>
      </c>
    </row>
    <row r="215" spans="1:8">
      <c r="A215" s="3" t="s">
        <v>526</v>
      </c>
      <c r="B215" s="10" t="s">
        <v>6</v>
      </c>
      <c r="C215" s="3" t="s">
        <v>1686</v>
      </c>
      <c r="D215" s="3" t="s">
        <v>1687</v>
      </c>
      <c r="E215" s="3" t="s">
        <v>1688</v>
      </c>
      <c r="F215" s="3">
        <v>36</v>
      </c>
      <c r="G215" s="3" t="s">
        <v>358</v>
      </c>
      <c r="H215" s="3" t="s">
        <v>52</v>
      </c>
    </row>
    <row r="216" spans="1:8">
      <c r="A216" s="3" t="s">
        <v>1018</v>
      </c>
      <c r="B216" s="10" t="s">
        <v>6</v>
      </c>
      <c r="C216" s="3" t="s">
        <v>1686</v>
      </c>
      <c r="D216" s="3" t="s">
        <v>1687</v>
      </c>
      <c r="E216" s="3" t="s">
        <v>1688</v>
      </c>
      <c r="F216" s="3">
        <v>83</v>
      </c>
      <c r="G216" s="3" t="s">
        <v>358</v>
      </c>
      <c r="H216" s="3" t="s">
        <v>52</v>
      </c>
    </row>
    <row r="217" spans="1:8">
      <c r="A217" s="3" t="s">
        <v>1747</v>
      </c>
      <c r="B217" s="10" t="s">
        <v>10</v>
      </c>
      <c r="C217" s="3" t="s">
        <v>1686</v>
      </c>
      <c r="D217" s="3" t="s">
        <v>1687</v>
      </c>
      <c r="E217" s="3" t="s">
        <v>1688</v>
      </c>
      <c r="F217" s="3">
        <v>303</v>
      </c>
      <c r="G217" s="3" t="s">
        <v>358</v>
      </c>
      <c r="H217" s="3" t="s">
        <v>52</v>
      </c>
    </row>
    <row r="218" spans="1:8">
      <c r="A218" s="3" t="s">
        <v>435</v>
      </c>
      <c r="B218" s="10" t="s">
        <v>10</v>
      </c>
      <c r="C218" s="3" t="s">
        <v>1686</v>
      </c>
      <c r="D218" s="3" t="s">
        <v>1687</v>
      </c>
      <c r="E218" s="3" t="s">
        <v>1688</v>
      </c>
      <c r="F218" s="3">
        <v>84</v>
      </c>
      <c r="G218" s="3" t="s">
        <v>358</v>
      </c>
      <c r="H218" s="3" t="s">
        <v>52</v>
      </c>
    </row>
    <row r="219" spans="1:8">
      <c r="A219" s="3" t="s">
        <v>910</v>
      </c>
      <c r="B219" s="10" t="s">
        <v>10</v>
      </c>
      <c r="C219" s="3" t="s">
        <v>1686</v>
      </c>
      <c r="D219" s="3" t="s">
        <v>1687</v>
      </c>
      <c r="E219" s="3" t="s">
        <v>1688</v>
      </c>
      <c r="F219" s="3">
        <v>304</v>
      </c>
      <c r="G219" s="3" t="s">
        <v>358</v>
      </c>
      <c r="H219" s="3" t="s">
        <v>52</v>
      </c>
    </row>
    <row r="220" spans="1:8">
      <c r="A220" s="3" t="s">
        <v>1748</v>
      </c>
      <c r="B220" s="10" t="s">
        <v>10</v>
      </c>
      <c r="C220" s="3" t="s">
        <v>1686</v>
      </c>
      <c r="D220" s="3" t="s">
        <v>1687</v>
      </c>
      <c r="E220" s="3" t="s">
        <v>1688</v>
      </c>
      <c r="F220" s="3">
        <v>182</v>
      </c>
      <c r="G220" s="3" t="s">
        <v>358</v>
      </c>
      <c r="H220" s="3" t="s">
        <v>52</v>
      </c>
    </row>
    <row r="221" spans="1:8">
      <c r="A221" s="3" t="s">
        <v>480</v>
      </c>
      <c r="B221" s="10" t="s">
        <v>8</v>
      </c>
      <c r="C221" s="3" t="s">
        <v>1686</v>
      </c>
      <c r="D221" s="3" t="s">
        <v>1687</v>
      </c>
      <c r="E221" s="3" t="s">
        <v>1688</v>
      </c>
      <c r="F221" s="3">
        <v>66</v>
      </c>
      <c r="G221" s="3" t="s">
        <v>358</v>
      </c>
      <c r="H221" s="3" t="s">
        <v>52</v>
      </c>
    </row>
    <row r="222" spans="1:8">
      <c r="A222" s="3" t="s">
        <v>1399</v>
      </c>
      <c r="B222" s="10" t="s">
        <v>10</v>
      </c>
      <c r="C222" s="3" t="s">
        <v>1686</v>
      </c>
      <c r="D222" s="3" t="s">
        <v>1687</v>
      </c>
      <c r="E222" s="3" t="s">
        <v>1688</v>
      </c>
      <c r="F222" s="3">
        <v>116</v>
      </c>
      <c r="G222" s="3" t="s">
        <v>358</v>
      </c>
      <c r="H222" s="3" t="s">
        <v>52</v>
      </c>
    </row>
    <row r="223" spans="1:8">
      <c r="A223" s="3" t="s">
        <v>216</v>
      </c>
      <c r="B223" s="10" t="s">
        <v>10</v>
      </c>
      <c r="C223" s="3" t="s">
        <v>1686</v>
      </c>
      <c r="D223" s="3" t="s">
        <v>1687</v>
      </c>
      <c r="E223" s="3" t="s">
        <v>1688</v>
      </c>
      <c r="F223" s="3">
        <v>248</v>
      </c>
      <c r="G223" s="3" t="s">
        <v>358</v>
      </c>
      <c r="H223" s="3" t="s">
        <v>52</v>
      </c>
    </row>
    <row r="224" spans="1:8">
      <c r="A224" s="3" t="s">
        <v>1642</v>
      </c>
      <c r="B224" s="10" t="s">
        <v>10</v>
      </c>
      <c r="C224" s="3" t="s">
        <v>1686</v>
      </c>
      <c r="D224" s="3" t="s">
        <v>1687</v>
      </c>
      <c r="E224" s="3" t="s">
        <v>1688</v>
      </c>
      <c r="F224" s="3">
        <v>117</v>
      </c>
      <c r="G224" s="3" t="s">
        <v>358</v>
      </c>
      <c r="H224" s="3" t="s">
        <v>52</v>
      </c>
    </row>
    <row r="225" spans="1:8">
      <c r="A225" s="3" t="s">
        <v>1374</v>
      </c>
      <c r="B225" s="10" t="s">
        <v>6</v>
      </c>
      <c r="C225" s="3" t="s">
        <v>1686</v>
      </c>
      <c r="D225" s="3" t="s">
        <v>1687</v>
      </c>
      <c r="E225" s="3" t="s">
        <v>1688</v>
      </c>
      <c r="F225" s="3">
        <v>37</v>
      </c>
      <c r="G225" s="3" t="s">
        <v>358</v>
      </c>
      <c r="H225" s="3" t="s">
        <v>52</v>
      </c>
    </row>
    <row r="226" spans="1:8">
      <c r="A226" s="3" t="s">
        <v>343</v>
      </c>
      <c r="B226" s="10" t="s">
        <v>10</v>
      </c>
      <c r="C226" s="3" t="s">
        <v>1686</v>
      </c>
      <c r="D226" s="3" t="s">
        <v>1687</v>
      </c>
      <c r="E226" s="3" t="s">
        <v>1688</v>
      </c>
      <c r="F226" s="3">
        <v>249</v>
      </c>
      <c r="G226" s="3" t="s">
        <v>358</v>
      </c>
      <c r="H226" s="3" t="s">
        <v>52</v>
      </c>
    </row>
    <row r="227" spans="1:8">
      <c r="A227" s="3" t="s">
        <v>1749</v>
      </c>
      <c r="B227" s="10" t="s">
        <v>10</v>
      </c>
      <c r="C227" s="3" t="s">
        <v>1686</v>
      </c>
      <c r="D227" s="3" t="s">
        <v>1687</v>
      </c>
      <c r="E227" s="3" t="s">
        <v>1688</v>
      </c>
      <c r="F227" s="3">
        <v>305</v>
      </c>
      <c r="G227" s="3" t="s">
        <v>358</v>
      </c>
      <c r="H227" s="3" t="s">
        <v>52</v>
      </c>
    </row>
    <row r="228" spans="1:8">
      <c r="A228" s="3" t="s">
        <v>1326</v>
      </c>
      <c r="B228" s="10" t="s">
        <v>10</v>
      </c>
      <c r="C228" s="3" t="s">
        <v>1686</v>
      </c>
      <c r="D228" s="3" t="s">
        <v>1687</v>
      </c>
      <c r="E228" s="3" t="s">
        <v>1688</v>
      </c>
      <c r="F228" s="3">
        <v>334</v>
      </c>
      <c r="G228" s="3" t="s">
        <v>358</v>
      </c>
      <c r="H228" s="3" t="s">
        <v>52</v>
      </c>
    </row>
    <row r="229" spans="1:8">
      <c r="A229" s="3" t="s">
        <v>746</v>
      </c>
      <c r="B229" s="10" t="s">
        <v>6</v>
      </c>
      <c r="C229" s="3" t="s">
        <v>1686</v>
      </c>
      <c r="D229" s="3" t="s">
        <v>1687</v>
      </c>
      <c r="E229" s="3" t="s">
        <v>1688</v>
      </c>
      <c r="F229" s="3">
        <v>38</v>
      </c>
      <c r="G229" s="3" t="s">
        <v>358</v>
      </c>
      <c r="H229" s="3" t="s">
        <v>52</v>
      </c>
    </row>
    <row r="230" spans="1:8">
      <c r="A230" s="3" t="s">
        <v>1750</v>
      </c>
      <c r="B230" s="10" t="s">
        <v>10</v>
      </c>
      <c r="C230" s="3" t="s">
        <v>1686</v>
      </c>
      <c r="D230" s="3" t="s">
        <v>1687</v>
      </c>
      <c r="E230" s="3" t="s">
        <v>1688</v>
      </c>
      <c r="F230" s="3">
        <v>306</v>
      </c>
      <c r="G230" s="3" t="s">
        <v>358</v>
      </c>
      <c r="H230" s="3" t="s">
        <v>52</v>
      </c>
    </row>
    <row r="231" spans="1:8">
      <c r="A231" s="3" t="s">
        <v>972</v>
      </c>
      <c r="B231" s="10" t="s">
        <v>10</v>
      </c>
      <c r="C231" s="3" t="s">
        <v>1686</v>
      </c>
      <c r="D231" s="3" t="s">
        <v>1687</v>
      </c>
      <c r="E231" s="3" t="s">
        <v>1688</v>
      </c>
      <c r="F231" s="3">
        <v>336</v>
      </c>
      <c r="G231" s="3" t="s">
        <v>358</v>
      </c>
      <c r="H231" s="3" t="s">
        <v>52</v>
      </c>
    </row>
    <row r="232" spans="1:8">
      <c r="A232" s="3" t="s">
        <v>352</v>
      </c>
      <c r="B232" s="10" t="s">
        <v>10</v>
      </c>
      <c r="C232" s="3" t="s">
        <v>1686</v>
      </c>
      <c r="D232" s="3" t="s">
        <v>1687</v>
      </c>
      <c r="E232" s="3" t="s">
        <v>1688</v>
      </c>
      <c r="F232" s="3">
        <v>85</v>
      </c>
      <c r="G232" s="3" t="s">
        <v>358</v>
      </c>
      <c r="H232" s="3" t="s">
        <v>52</v>
      </c>
    </row>
    <row r="233" spans="1:8">
      <c r="A233" s="3" t="s">
        <v>830</v>
      </c>
      <c r="B233" s="10" t="s">
        <v>6</v>
      </c>
      <c r="C233" s="3" t="s">
        <v>1686</v>
      </c>
      <c r="D233" s="3" t="s">
        <v>1687</v>
      </c>
      <c r="E233" s="3" t="s">
        <v>1688</v>
      </c>
      <c r="F233" s="3">
        <v>39</v>
      </c>
      <c r="G233" s="3" t="s">
        <v>358</v>
      </c>
      <c r="H233" s="3" t="s">
        <v>52</v>
      </c>
    </row>
    <row r="234" spans="1:8">
      <c r="A234" s="3" t="s">
        <v>662</v>
      </c>
      <c r="B234" s="10" t="s">
        <v>10</v>
      </c>
      <c r="C234" s="3" t="s">
        <v>1686</v>
      </c>
      <c r="D234" s="3" t="s">
        <v>1687</v>
      </c>
      <c r="E234" s="3" t="s">
        <v>1688</v>
      </c>
      <c r="F234" s="3">
        <v>166</v>
      </c>
      <c r="G234" s="3" t="s">
        <v>358</v>
      </c>
      <c r="H234" s="3" t="s">
        <v>52</v>
      </c>
    </row>
    <row r="235" spans="1:8">
      <c r="A235" s="3" t="s">
        <v>1380</v>
      </c>
      <c r="B235" s="10" t="s">
        <v>10</v>
      </c>
      <c r="C235" s="3" t="s">
        <v>1686</v>
      </c>
      <c r="D235" s="3" t="s">
        <v>1687</v>
      </c>
      <c r="E235" s="3" t="s">
        <v>1688</v>
      </c>
      <c r="F235" s="3">
        <v>307</v>
      </c>
      <c r="G235" s="3" t="s">
        <v>358</v>
      </c>
      <c r="H235" s="3" t="s">
        <v>52</v>
      </c>
    </row>
    <row r="236" spans="1:8">
      <c r="A236" s="3" t="s">
        <v>296</v>
      </c>
      <c r="B236" s="10" t="s">
        <v>10</v>
      </c>
      <c r="C236" s="3" t="s">
        <v>1686</v>
      </c>
      <c r="D236" s="3" t="s">
        <v>1687</v>
      </c>
      <c r="E236" s="3" t="s">
        <v>1688</v>
      </c>
      <c r="F236" s="3">
        <v>250</v>
      </c>
      <c r="G236" s="3" t="s">
        <v>358</v>
      </c>
      <c r="H236" s="3" t="s">
        <v>52</v>
      </c>
    </row>
    <row r="237" spans="1:8">
      <c r="A237" s="3" t="s">
        <v>610</v>
      </c>
      <c r="B237" s="10" t="s">
        <v>6</v>
      </c>
      <c r="C237" s="3" t="s">
        <v>1686</v>
      </c>
      <c r="D237" s="3" t="s">
        <v>1687</v>
      </c>
      <c r="E237" s="3" t="s">
        <v>1688</v>
      </c>
      <c r="F237" s="3">
        <v>40</v>
      </c>
      <c r="G237" s="3" t="s">
        <v>358</v>
      </c>
      <c r="H237" s="3" t="s">
        <v>52</v>
      </c>
    </row>
    <row r="238" spans="1:8">
      <c r="A238" s="3" t="s">
        <v>691</v>
      </c>
      <c r="B238" s="10" t="s">
        <v>10</v>
      </c>
      <c r="C238" s="3" t="s">
        <v>1686</v>
      </c>
      <c r="D238" s="3" t="s">
        <v>1687</v>
      </c>
      <c r="E238" s="3" t="s">
        <v>1688</v>
      </c>
      <c r="F238" s="3">
        <v>251</v>
      </c>
      <c r="G238" s="3" t="s">
        <v>358</v>
      </c>
      <c r="H238" s="3" t="s">
        <v>52</v>
      </c>
    </row>
    <row r="239" spans="1:8">
      <c r="A239" s="3" t="s">
        <v>1340</v>
      </c>
      <c r="B239" s="10" t="s">
        <v>6</v>
      </c>
      <c r="C239" s="3" t="s">
        <v>1686</v>
      </c>
      <c r="D239" s="3" t="s">
        <v>1687</v>
      </c>
      <c r="E239" s="3" t="s">
        <v>1688</v>
      </c>
      <c r="F239" s="3">
        <v>308</v>
      </c>
      <c r="G239" s="3" t="s">
        <v>358</v>
      </c>
      <c r="H239" s="3" t="s">
        <v>52</v>
      </c>
    </row>
    <row r="240" spans="1:8">
      <c r="A240" s="3" t="s">
        <v>320</v>
      </c>
      <c r="B240" s="10" t="s">
        <v>10</v>
      </c>
      <c r="C240" s="3" t="s">
        <v>1686</v>
      </c>
      <c r="D240" s="3" t="s">
        <v>1687</v>
      </c>
      <c r="E240" s="3" t="s">
        <v>1688</v>
      </c>
      <c r="F240" s="3">
        <v>309</v>
      </c>
      <c r="G240" s="3" t="s">
        <v>358</v>
      </c>
      <c r="H240" s="3" t="s">
        <v>52</v>
      </c>
    </row>
    <row r="241" spans="1:8">
      <c r="A241" s="3" t="s">
        <v>190</v>
      </c>
      <c r="B241" s="10" t="s">
        <v>10</v>
      </c>
      <c r="C241" s="3" t="s">
        <v>1686</v>
      </c>
      <c r="D241" s="3" t="s">
        <v>1687</v>
      </c>
      <c r="E241" s="3" t="s">
        <v>1688</v>
      </c>
      <c r="F241" s="3">
        <v>252</v>
      </c>
      <c r="G241" s="3" t="s">
        <v>358</v>
      </c>
      <c r="H241" s="3" t="s">
        <v>52</v>
      </c>
    </row>
    <row r="242" spans="1:8">
      <c r="A242" s="3" t="s">
        <v>1751</v>
      </c>
      <c r="B242" s="10" t="s">
        <v>10</v>
      </c>
      <c r="C242" s="3" t="s">
        <v>1686</v>
      </c>
      <c r="D242" s="3" t="s">
        <v>1687</v>
      </c>
      <c r="E242" s="3" t="s">
        <v>1688</v>
      </c>
      <c r="F242" s="3">
        <v>310</v>
      </c>
      <c r="G242" s="3" t="s">
        <v>358</v>
      </c>
      <c r="H242" s="3" t="s">
        <v>52</v>
      </c>
    </row>
    <row r="243" spans="1:8">
      <c r="A243" s="3" t="s">
        <v>1040</v>
      </c>
      <c r="B243" s="10" t="s">
        <v>10</v>
      </c>
      <c r="C243" s="3" t="s">
        <v>1686</v>
      </c>
      <c r="D243" s="3" t="s">
        <v>1687</v>
      </c>
      <c r="E243" s="3" t="s">
        <v>1688</v>
      </c>
      <c r="F243" s="3">
        <v>143</v>
      </c>
      <c r="G243" s="3" t="s">
        <v>358</v>
      </c>
      <c r="H243" s="3" t="s">
        <v>52</v>
      </c>
    </row>
    <row r="244" spans="1:8">
      <c r="A244" s="3" t="s">
        <v>1752</v>
      </c>
      <c r="B244" s="10" t="s">
        <v>10</v>
      </c>
      <c r="C244" s="3" t="s">
        <v>1686</v>
      </c>
      <c r="D244" s="3" t="s">
        <v>1687</v>
      </c>
      <c r="E244" s="3" t="s">
        <v>1688</v>
      </c>
      <c r="F244" s="3">
        <v>156</v>
      </c>
      <c r="G244" s="3" t="s">
        <v>358</v>
      </c>
      <c r="H244" s="3" t="s">
        <v>52</v>
      </c>
    </row>
    <row r="245" spans="1:8">
      <c r="A245" s="3" t="s">
        <v>1190</v>
      </c>
      <c r="B245" s="10" t="s">
        <v>10</v>
      </c>
      <c r="C245" s="3" t="s">
        <v>1686</v>
      </c>
      <c r="D245" s="3" t="s">
        <v>1687</v>
      </c>
      <c r="E245" s="3" t="s">
        <v>1688</v>
      </c>
      <c r="F245" s="3">
        <v>86</v>
      </c>
      <c r="G245" s="3" t="s">
        <v>358</v>
      </c>
      <c r="H245" s="3" t="s">
        <v>52</v>
      </c>
    </row>
    <row r="246" spans="1:8">
      <c r="A246" s="3" t="s">
        <v>686</v>
      </c>
      <c r="B246" s="10" t="s">
        <v>10</v>
      </c>
      <c r="C246" s="3" t="s">
        <v>1686</v>
      </c>
      <c r="D246" s="3" t="s">
        <v>1687</v>
      </c>
      <c r="E246" s="3" t="s">
        <v>1688</v>
      </c>
      <c r="F246" s="3">
        <v>118</v>
      </c>
      <c r="G246" s="3" t="s">
        <v>358</v>
      </c>
      <c r="H246" s="3" t="s">
        <v>52</v>
      </c>
    </row>
    <row r="247" spans="1:8">
      <c r="A247" s="3" t="s">
        <v>228</v>
      </c>
      <c r="B247" s="10" t="s">
        <v>10</v>
      </c>
      <c r="C247" s="3" t="s">
        <v>1686</v>
      </c>
      <c r="D247" s="3" t="s">
        <v>1687</v>
      </c>
      <c r="E247" s="3" t="s">
        <v>1688</v>
      </c>
      <c r="F247" s="3">
        <v>253</v>
      </c>
      <c r="G247" s="3" t="s">
        <v>358</v>
      </c>
      <c r="H247" s="3" t="s">
        <v>52</v>
      </c>
    </row>
    <row r="248" spans="1:8">
      <c r="A248" s="3" t="s">
        <v>601</v>
      </c>
      <c r="B248" s="10" t="s">
        <v>10</v>
      </c>
      <c r="C248" s="3" t="s">
        <v>1686</v>
      </c>
      <c r="D248" s="3" t="s">
        <v>1687</v>
      </c>
      <c r="E248" s="3" t="s">
        <v>1688</v>
      </c>
      <c r="F248" s="3">
        <v>254</v>
      </c>
      <c r="G248" s="3" t="s">
        <v>358</v>
      </c>
      <c r="H248" s="3" t="s">
        <v>52</v>
      </c>
    </row>
    <row r="249" spans="1:8">
      <c r="A249" s="3" t="s">
        <v>1181</v>
      </c>
      <c r="B249" s="10" t="s">
        <v>8</v>
      </c>
      <c r="C249" s="3" t="s">
        <v>1686</v>
      </c>
      <c r="D249" s="3" t="s">
        <v>1687</v>
      </c>
      <c r="E249" s="3" t="s">
        <v>1688</v>
      </c>
      <c r="F249" s="3">
        <v>119</v>
      </c>
      <c r="G249" s="3" t="s">
        <v>358</v>
      </c>
      <c r="H249" s="3" t="s">
        <v>52</v>
      </c>
    </row>
    <row r="250" spans="1:8">
      <c r="A250" s="3" t="s">
        <v>1753</v>
      </c>
      <c r="B250" s="10" t="s">
        <v>10</v>
      </c>
      <c r="C250" s="3" t="s">
        <v>1686</v>
      </c>
      <c r="D250" s="3" t="s">
        <v>1687</v>
      </c>
      <c r="E250" s="3" t="s">
        <v>1688</v>
      </c>
      <c r="F250" s="3">
        <v>311</v>
      </c>
      <c r="G250" s="3" t="s">
        <v>358</v>
      </c>
      <c r="H250" s="3" t="s">
        <v>52</v>
      </c>
    </row>
    <row r="251" spans="1:8">
      <c r="A251" s="3" t="s">
        <v>1474</v>
      </c>
      <c r="B251" s="10" t="s">
        <v>10</v>
      </c>
      <c r="C251" s="3" t="s">
        <v>1686</v>
      </c>
      <c r="D251" s="3" t="s">
        <v>1687</v>
      </c>
      <c r="E251" s="3" t="s">
        <v>1688</v>
      </c>
      <c r="F251" s="3">
        <v>120</v>
      </c>
      <c r="G251" s="3" t="s">
        <v>358</v>
      </c>
      <c r="H251" s="3" t="s">
        <v>52</v>
      </c>
    </row>
    <row r="252" spans="1:8">
      <c r="A252" s="3" t="s">
        <v>1754</v>
      </c>
      <c r="B252" s="10" t="s">
        <v>10</v>
      </c>
      <c r="C252" s="3" t="s">
        <v>1686</v>
      </c>
      <c r="D252" s="3" t="s">
        <v>1687</v>
      </c>
      <c r="E252" s="3" t="s">
        <v>1688</v>
      </c>
      <c r="F252" s="3">
        <v>255</v>
      </c>
      <c r="G252" s="3" t="s">
        <v>358</v>
      </c>
      <c r="H252" s="3" t="s">
        <v>52</v>
      </c>
    </row>
    <row r="253" spans="1:8">
      <c r="A253" s="3" t="s">
        <v>202</v>
      </c>
      <c r="B253" s="10" t="s">
        <v>10</v>
      </c>
      <c r="C253" s="3" t="s">
        <v>1686</v>
      </c>
      <c r="D253" s="3" t="s">
        <v>1687</v>
      </c>
      <c r="E253" s="3" t="s">
        <v>1688</v>
      </c>
      <c r="F253" s="3">
        <v>183</v>
      </c>
      <c r="G253" s="3" t="s">
        <v>358</v>
      </c>
      <c r="H253" s="3" t="s">
        <v>52</v>
      </c>
    </row>
    <row r="254" spans="1:8">
      <c r="A254" s="3" t="s">
        <v>178</v>
      </c>
      <c r="B254" s="10" t="s">
        <v>10</v>
      </c>
      <c r="C254" s="3" t="s">
        <v>1686</v>
      </c>
      <c r="D254" s="3" t="s">
        <v>1687</v>
      </c>
      <c r="E254" s="3" t="s">
        <v>1688</v>
      </c>
      <c r="F254" s="3">
        <v>256</v>
      </c>
      <c r="G254" s="3" t="s">
        <v>358</v>
      </c>
      <c r="H254" s="3" t="s">
        <v>52</v>
      </c>
    </row>
    <row r="255" spans="1:8">
      <c r="A255" s="3" t="s">
        <v>1333</v>
      </c>
      <c r="B255" s="10" t="s">
        <v>6</v>
      </c>
      <c r="C255" s="3" t="s">
        <v>1686</v>
      </c>
      <c r="D255" s="3" t="s">
        <v>1687</v>
      </c>
      <c r="E255" s="3" t="s">
        <v>1688</v>
      </c>
      <c r="F255" s="3">
        <v>41</v>
      </c>
      <c r="G255" s="3" t="s">
        <v>358</v>
      </c>
      <c r="H255" s="3" t="s">
        <v>52</v>
      </c>
    </row>
    <row r="256" spans="1:8">
      <c r="A256" s="3" t="s">
        <v>411</v>
      </c>
      <c r="B256" s="10" t="s">
        <v>6</v>
      </c>
      <c r="C256" s="3" t="s">
        <v>1686</v>
      </c>
      <c r="D256" s="3" t="s">
        <v>1687</v>
      </c>
      <c r="E256" s="3" t="s">
        <v>1688</v>
      </c>
      <c r="F256" s="3">
        <v>42</v>
      </c>
      <c r="G256" s="3" t="s">
        <v>358</v>
      </c>
      <c r="H256" s="3" t="s">
        <v>52</v>
      </c>
    </row>
    <row r="257" spans="1:8">
      <c r="A257" s="3" t="s">
        <v>1385</v>
      </c>
      <c r="B257" s="10" t="s">
        <v>10</v>
      </c>
      <c r="C257" s="3" t="s">
        <v>1686</v>
      </c>
      <c r="D257" s="3" t="s">
        <v>1687</v>
      </c>
      <c r="E257" s="3" t="s">
        <v>1688</v>
      </c>
      <c r="F257" s="3">
        <v>121</v>
      </c>
      <c r="G257" s="3" t="s">
        <v>358</v>
      </c>
      <c r="H257" s="3" t="s">
        <v>52</v>
      </c>
    </row>
    <row r="258" spans="1:8">
      <c r="A258" s="3" t="s">
        <v>1755</v>
      </c>
      <c r="B258" s="10" t="s">
        <v>10</v>
      </c>
      <c r="C258" s="3" t="s">
        <v>1686</v>
      </c>
      <c r="D258" s="3" t="s">
        <v>1687</v>
      </c>
      <c r="E258" s="3" t="s">
        <v>1688</v>
      </c>
      <c r="F258" s="3">
        <v>312</v>
      </c>
      <c r="G258" s="3" t="s">
        <v>358</v>
      </c>
      <c r="H258" s="3" t="s">
        <v>52</v>
      </c>
    </row>
    <row r="259" spans="1:8">
      <c r="A259" s="3" t="s">
        <v>798</v>
      </c>
      <c r="B259" s="10" t="s">
        <v>6</v>
      </c>
      <c r="C259" s="3" t="s">
        <v>1686</v>
      </c>
      <c r="D259" s="3" t="s">
        <v>1687</v>
      </c>
      <c r="E259" s="3" t="s">
        <v>1688</v>
      </c>
      <c r="F259" s="3">
        <v>87</v>
      </c>
      <c r="G259" s="3" t="s">
        <v>358</v>
      </c>
      <c r="H259" s="3" t="s">
        <v>52</v>
      </c>
    </row>
    <row r="260" spans="1:8">
      <c r="A260" s="3" t="s">
        <v>1349</v>
      </c>
      <c r="B260" s="10" t="s">
        <v>6</v>
      </c>
      <c r="C260" s="3" t="s">
        <v>1686</v>
      </c>
      <c r="D260" s="3" t="s">
        <v>1687</v>
      </c>
      <c r="E260" s="3" t="s">
        <v>1688</v>
      </c>
      <c r="F260" s="3">
        <v>43</v>
      </c>
      <c r="G260" s="3" t="s">
        <v>358</v>
      </c>
      <c r="H260" s="3" t="s">
        <v>52</v>
      </c>
    </row>
    <row r="261" spans="1:8">
      <c r="A261" s="3" t="s">
        <v>288</v>
      </c>
      <c r="B261" s="10" t="s">
        <v>10</v>
      </c>
      <c r="C261" s="3" t="s">
        <v>1686</v>
      </c>
      <c r="D261" s="3" t="s">
        <v>1687</v>
      </c>
      <c r="E261" s="3" t="s">
        <v>1688</v>
      </c>
      <c r="F261" s="3">
        <v>144</v>
      </c>
      <c r="G261" s="3" t="s">
        <v>358</v>
      </c>
      <c r="H261" s="3" t="s">
        <v>52</v>
      </c>
    </row>
    <row r="262" spans="1:8">
      <c r="A262" s="3" t="s">
        <v>1080</v>
      </c>
      <c r="B262" s="10" t="s">
        <v>10</v>
      </c>
      <c r="C262" s="3" t="s">
        <v>1686</v>
      </c>
      <c r="D262" s="3" t="s">
        <v>1687</v>
      </c>
      <c r="E262" s="3" t="s">
        <v>1688</v>
      </c>
      <c r="F262" s="3">
        <v>122</v>
      </c>
      <c r="G262" s="3" t="s">
        <v>358</v>
      </c>
      <c r="H262" s="3" t="s">
        <v>52</v>
      </c>
    </row>
    <row r="263" spans="1:8">
      <c r="A263" s="3" t="s">
        <v>1654</v>
      </c>
      <c r="B263" s="10" t="s">
        <v>10</v>
      </c>
      <c r="C263" s="3" t="s">
        <v>1686</v>
      </c>
      <c r="D263" s="3" t="s">
        <v>1687</v>
      </c>
      <c r="E263" s="3" t="s">
        <v>1688</v>
      </c>
      <c r="F263" s="3">
        <v>123</v>
      </c>
      <c r="G263" s="3" t="s">
        <v>358</v>
      </c>
      <c r="H263" s="3" t="s">
        <v>52</v>
      </c>
    </row>
    <row r="264" spans="1:8">
      <c r="A264" s="3" t="s">
        <v>334</v>
      </c>
      <c r="B264" s="10" t="s">
        <v>10</v>
      </c>
      <c r="C264" s="3" t="s">
        <v>1686</v>
      </c>
      <c r="D264" s="3" t="s">
        <v>1687</v>
      </c>
      <c r="E264" s="3" t="s">
        <v>1688</v>
      </c>
      <c r="F264" s="3">
        <v>333</v>
      </c>
      <c r="G264" s="3" t="s">
        <v>358</v>
      </c>
      <c r="H264" s="3" t="s">
        <v>52</v>
      </c>
    </row>
    <row r="265" spans="1:8">
      <c r="A265" s="3" t="s">
        <v>1370</v>
      </c>
      <c r="B265" s="10" t="s">
        <v>10</v>
      </c>
      <c r="C265" s="3" t="s">
        <v>1686</v>
      </c>
      <c r="D265" s="3" t="s">
        <v>1687</v>
      </c>
      <c r="E265" s="3" t="s">
        <v>1688</v>
      </c>
      <c r="F265" s="3">
        <v>88</v>
      </c>
      <c r="G265" s="3" t="s">
        <v>358</v>
      </c>
      <c r="H265" s="3" t="s">
        <v>52</v>
      </c>
    </row>
    <row r="266" spans="1:8">
      <c r="A266" s="3" t="s">
        <v>619</v>
      </c>
      <c r="B266" s="10" t="s">
        <v>10</v>
      </c>
      <c r="C266" s="3" t="s">
        <v>1686</v>
      </c>
      <c r="D266" s="3" t="s">
        <v>1687</v>
      </c>
      <c r="E266" s="3" t="s">
        <v>1688</v>
      </c>
      <c r="F266" s="3">
        <v>124</v>
      </c>
      <c r="G266" s="3" t="s">
        <v>358</v>
      </c>
      <c r="H266" s="3" t="s">
        <v>52</v>
      </c>
    </row>
    <row r="267" spans="1:8">
      <c r="A267" s="3" t="s">
        <v>317</v>
      </c>
      <c r="B267" s="10" t="s">
        <v>10</v>
      </c>
      <c r="C267" s="3" t="s">
        <v>1686</v>
      </c>
      <c r="D267" s="3" t="s">
        <v>1687</v>
      </c>
      <c r="E267" s="3" t="s">
        <v>1688</v>
      </c>
      <c r="F267" s="3">
        <v>313</v>
      </c>
      <c r="G267" s="3" t="s">
        <v>358</v>
      </c>
      <c r="H267" s="3" t="s">
        <v>52</v>
      </c>
    </row>
    <row r="268" spans="1:8">
      <c r="A268" s="3" t="s">
        <v>667</v>
      </c>
      <c r="B268" s="10" t="s">
        <v>10</v>
      </c>
      <c r="C268" s="3" t="s">
        <v>1686</v>
      </c>
      <c r="D268" s="3" t="s">
        <v>1687</v>
      </c>
      <c r="E268" s="3" t="s">
        <v>1688</v>
      </c>
      <c r="F268" s="3">
        <v>338</v>
      </c>
      <c r="G268" s="3" t="s">
        <v>358</v>
      </c>
      <c r="H268" s="3" t="s">
        <v>52</v>
      </c>
    </row>
    <row r="269" spans="1:8">
      <c r="A269" s="3" t="s">
        <v>1756</v>
      </c>
      <c r="B269" s="10" t="s">
        <v>10</v>
      </c>
      <c r="C269" s="3" t="s">
        <v>1686</v>
      </c>
      <c r="D269" s="3" t="s">
        <v>1687</v>
      </c>
      <c r="E269" s="3" t="s">
        <v>1688</v>
      </c>
      <c r="F269" s="3">
        <v>314</v>
      </c>
      <c r="G269" s="3" t="s">
        <v>358</v>
      </c>
      <c r="H269" s="3" t="s">
        <v>52</v>
      </c>
    </row>
    <row r="270" spans="1:8">
      <c r="A270" s="3" t="s">
        <v>273</v>
      </c>
      <c r="B270" s="10" t="s">
        <v>10</v>
      </c>
      <c r="C270" s="3" t="s">
        <v>1686</v>
      </c>
      <c r="D270" s="3" t="s">
        <v>1687</v>
      </c>
      <c r="E270" s="3" t="s">
        <v>1688</v>
      </c>
      <c r="F270" s="3">
        <v>184</v>
      </c>
      <c r="G270" s="3" t="s">
        <v>358</v>
      </c>
      <c r="H270" s="3" t="s">
        <v>52</v>
      </c>
    </row>
    <row r="271" spans="1:8">
      <c r="A271" s="3" t="s">
        <v>1757</v>
      </c>
      <c r="B271" s="10" t="s">
        <v>10</v>
      </c>
      <c r="C271" s="3" t="s">
        <v>1686</v>
      </c>
      <c r="D271" s="3" t="s">
        <v>1687</v>
      </c>
      <c r="E271" s="3" t="s">
        <v>1688</v>
      </c>
      <c r="F271" s="3">
        <v>315</v>
      </c>
      <c r="G271" s="3" t="s">
        <v>358</v>
      </c>
      <c r="H271" s="3" t="s">
        <v>52</v>
      </c>
    </row>
    <row r="272" spans="1:8">
      <c r="A272" s="3" t="s">
        <v>279</v>
      </c>
      <c r="B272" s="10" t="s">
        <v>10</v>
      </c>
      <c r="C272" s="3" t="s">
        <v>1686</v>
      </c>
      <c r="D272" s="3" t="s">
        <v>1687</v>
      </c>
      <c r="E272" s="3" t="s">
        <v>1688</v>
      </c>
      <c r="F272" s="3">
        <v>316</v>
      </c>
      <c r="G272" s="3" t="s">
        <v>358</v>
      </c>
      <c r="H272" s="3" t="s">
        <v>52</v>
      </c>
    </row>
    <row r="273" spans="1:8">
      <c r="A273" s="3" t="s">
        <v>1564</v>
      </c>
      <c r="B273" s="10" t="s">
        <v>10</v>
      </c>
      <c r="C273" s="3" t="s">
        <v>1686</v>
      </c>
      <c r="D273" s="3" t="s">
        <v>1687</v>
      </c>
      <c r="E273" s="3" t="s">
        <v>1688</v>
      </c>
      <c r="F273" s="3">
        <v>125</v>
      </c>
      <c r="G273" s="3" t="s">
        <v>358</v>
      </c>
      <c r="H273" s="3" t="s">
        <v>52</v>
      </c>
    </row>
    <row r="274" spans="1:8">
      <c r="A274" s="3" t="s">
        <v>677</v>
      </c>
      <c r="B274" s="10" t="s">
        <v>10</v>
      </c>
      <c r="C274" s="3" t="s">
        <v>1686</v>
      </c>
      <c r="D274" s="3" t="s">
        <v>1687</v>
      </c>
      <c r="E274" s="3" t="s">
        <v>1688</v>
      </c>
      <c r="F274" s="3">
        <v>126</v>
      </c>
      <c r="G274" s="3" t="s">
        <v>358</v>
      </c>
      <c r="H274" s="3" t="s">
        <v>52</v>
      </c>
    </row>
    <row r="275" spans="1:8">
      <c r="A275" s="3" t="s">
        <v>1758</v>
      </c>
      <c r="B275" s="10" t="s">
        <v>10</v>
      </c>
      <c r="C275" s="3" t="s">
        <v>1686</v>
      </c>
      <c r="D275" s="3" t="s">
        <v>1687</v>
      </c>
      <c r="E275" s="3" t="s">
        <v>1688</v>
      </c>
      <c r="F275" s="3">
        <v>317</v>
      </c>
      <c r="G275" s="3" t="s">
        <v>358</v>
      </c>
      <c r="H275" s="3" t="s">
        <v>52</v>
      </c>
    </row>
    <row r="276" spans="1:8">
      <c r="A276" s="3" t="s">
        <v>967</v>
      </c>
      <c r="B276" s="10" t="s">
        <v>8</v>
      </c>
      <c r="C276" s="3" t="s">
        <v>1686</v>
      </c>
      <c r="D276" s="3" t="s">
        <v>1687</v>
      </c>
      <c r="E276" s="3" t="s">
        <v>1688</v>
      </c>
      <c r="F276" s="3">
        <v>44</v>
      </c>
      <c r="G276" s="3" t="s">
        <v>358</v>
      </c>
      <c r="H276" s="3" t="s">
        <v>52</v>
      </c>
    </row>
    <row r="277" spans="1:8">
      <c r="A277" s="3" t="s">
        <v>1759</v>
      </c>
      <c r="B277" s="10" t="s">
        <v>10</v>
      </c>
      <c r="C277" s="3" t="s">
        <v>1686</v>
      </c>
      <c r="D277" s="3" t="s">
        <v>1687</v>
      </c>
      <c r="E277" s="3" t="s">
        <v>1688</v>
      </c>
      <c r="F277" s="3">
        <v>318</v>
      </c>
      <c r="G277" s="3" t="s">
        <v>358</v>
      </c>
      <c r="H277" s="3" t="s">
        <v>52</v>
      </c>
    </row>
    <row r="278" spans="1:8">
      <c r="A278" s="3" t="s">
        <v>386</v>
      </c>
      <c r="B278" s="10" t="s">
        <v>10</v>
      </c>
      <c r="C278" s="3" t="s">
        <v>1686</v>
      </c>
      <c r="D278" s="3" t="s">
        <v>1687</v>
      </c>
      <c r="E278" s="3" t="s">
        <v>1688</v>
      </c>
      <c r="F278" s="3">
        <v>89</v>
      </c>
      <c r="G278" s="3" t="s">
        <v>358</v>
      </c>
      <c r="H278" s="3" t="s">
        <v>52</v>
      </c>
    </row>
    <row r="279" spans="1:8">
      <c r="A279" s="3" t="s">
        <v>1760</v>
      </c>
      <c r="B279" s="10" t="s">
        <v>10</v>
      </c>
      <c r="C279" s="3" t="s">
        <v>1686</v>
      </c>
      <c r="D279" s="3" t="s">
        <v>1687</v>
      </c>
      <c r="E279" s="3" t="s">
        <v>1688</v>
      </c>
      <c r="F279" s="3">
        <v>319</v>
      </c>
      <c r="G279" s="3" t="s">
        <v>358</v>
      </c>
      <c r="H279" s="3" t="s">
        <v>52</v>
      </c>
    </row>
    <row r="280" spans="1:8">
      <c r="A280" s="3" t="s">
        <v>998</v>
      </c>
      <c r="B280" s="10" t="s">
        <v>10</v>
      </c>
      <c r="C280" s="3" t="s">
        <v>1686</v>
      </c>
      <c r="D280" s="3" t="s">
        <v>1687</v>
      </c>
      <c r="E280" s="3" t="s">
        <v>1688</v>
      </c>
      <c r="F280" s="3">
        <v>127</v>
      </c>
      <c r="G280" s="3" t="s">
        <v>358</v>
      </c>
      <c r="H280" s="3" t="s">
        <v>52</v>
      </c>
    </row>
    <row r="281" spans="1:8">
      <c r="A281" s="3" t="s">
        <v>118</v>
      </c>
      <c r="B281" s="10" t="s">
        <v>10</v>
      </c>
      <c r="C281" s="3" t="s">
        <v>1686</v>
      </c>
      <c r="D281" s="3" t="s">
        <v>1687</v>
      </c>
      <c r="E281" s="3" t="s">
        <v>1688</v>
      </c>
      <c r="F281" s="3">
        <v>138</v>
      </c>
      <c r="G281" s="3" t="s">
        <v>358</v>
      </c>
      <c r="H281" s="3" t="s">
        <v>52</v>
      </c>
    </row>
    <row r="282" spans="1:8">
      <c r="A282" s="3" t="s">
        <v>1161</v>
      </c>
      <c r="B282" s="10" t="s">
        <v>10</v>
      </c>
      <c r="C282" s="3" t="s">
        <v>1686</v>
      </c>
      <c r="D282" s="3" t="s">
        <v>1687</v>
      </c>
      <c r="E282" s="3" t="s">
        <v>1688</v>
      </c>
      <c r="F282" s="3">
        <v>128</v>
      </c>
      <c r="G282" s="3" t="s">
        <v>358</v>
      </c>
      <c r="H282" s="3" t="s">
        <v>52</v>
      </c>
    </row>
    <row r="283" spans="1:8">
      <c r="A283" s="3" t="s">
        <v>1761</v>
      </c>
      <c r="B283" s="10" t="s">
        <v>10</v>
      </c>
      <c r="C283" s="3" t="s">
        <v>1686</v>
      </c>
      <c r="D283" s="3" t="s">
        <v>1687</v>
      </c>
      <c r="E283" s="3" t="s">
        <v>1688</v>
      </c>
      <c r="F283" s="3">
        <v>320</v>
      </c>
      <c r="G283" s="3" t="s">
        <v>358</v>
      </c>
      <c r="H283" s="3" t="s">
        <v>52</v>
      </c>
    </row>
    <row r="284" spans="1:8">
      <c r="A284" s="3" t="s">
        <v>650</v>
      </c>
      <c r="B284" s="10" t="s">
        <v>10</v>
      </c>
      <c r="C284" s="3" t="s">
        <v>1686</v>
      </c>
      <c r="D284" s="3" t="s">
        <v>1687</v>
      </c>
      <c r="E284" s="3" t="s">
        <v>1688</v>
      </c>
      <c r="F284" s="3">
        <v>321</v>
      </c>
      <c r="G284" s="3" t="s">
        <v>358</v>
      </c>
      <c r="H284" s="3" t="s">
        <v>52</v>
      </c>
    </row>
    <row r="285" spans="1:8">
      <c r="A285" s="3" t="s">
        <v>475</v>
      </c>
      <c r="B285" s="10" t="s">
        <v>10</v>
      </c>
      <c r="C285" s="3" t="s">
        <v>1686</v>
      </c>
      <c r="D285" s="3" t="s">
        <v>1687</v>
      </c>
      <c r="E285" s="3" t="s">
        <v>1688</v>
      </c>
      <c r="F285" s="3">
        <v>90</v>
      </c>
      <c r="G285" s="3" t="s">
        <v>358</v>
      </c>
      <c r="H285" s="3" t="s">
        <v>52</v>
      </c>
    </row>
    <row r="286" spans="1:8">
      <c r="A286" s="3" t="s">
        <v>1762</v>
      </c>
      <c r="B286" s="10" t="s">
        <v>10</v>
      </c>
      <c r="C286" s="3" t="s">
        <v>1686</v>
      </c>
      <c r="D286" s="3" t="s">
        <v>1687</v>
      </c>
      <c r="E286" s="3" t="s">
        <v>1688</v>
      </c>
      <c r="F286" s="3">
        <v>151</v>
      </c>
      <c r="G286" s="3" t="s">
        <v>358</v>
      </c>
      <c r="H286" s="3" t="s">
        <v>52</v>
      </c>
    </row>
    <row r="287" spans="1:8">
      <c r="A287" s="3" t="s">
        <v>1763</v>
      </c>
      <c r="B287" s="10" t="s">
        <v>10</v>
      </c>
      <c r="C287" s="3" t="s">
        <v>1686</v>
      </c>
      <c r="D287" s="3" t="s">
        <v>1687</v>
      </c>
      <c r="E287" s="3" t="s">
        <v>1688</v>
      </c>
      <c r="F287" s="3">
        <v>322</v>
      </c>
      <c r="G287" s="3" t="s">
        <v>358</v>
      </c>
      <c r="H287" s="3" t="s">
        <v>52</v>
      </c>
    </row>
    <row r="288" spans="1:8">
      <c r="A288" s="3" t="s">
        <v>821</v>
      </c>
      <c r="B288" s="10" t="s">
        <v>10</v>
      </c>
      <c r="C288" s="3" t="s">
        <v>1686</v>
      </c>
      <c r="D288" s="3" t="s">
        <v>1687</v>
      </c>
      <c r="E288" s="3" t="s">
        <v>1688</v>
      </c>
      <c r="F288" s="3">
        <v>185</v>
      </c>
      <c r="G288" s="3" t="s">
        <v>358</v>
      </c>
      <c r="H288" s="3" t="s">
        <v>52</v>
      </c>
    </row>
    <row r="289" spans="1:8">
      <c r="A289" s="3" t="s">
        <v>1764</v>
      </c>
      <c r="B289" s="10" t="s">
        <v>10</v>
      </c>
      <c r="C289" s="3" t="s">
        <v>1686</v>
      </c>
      <c r="D289" s="3" t="s">
        <v>1687</v>
      </c>
      <c r="E289" s="3" t="s">
        <v>1688</v>
      </c>
      <c r="F289" s="3">
        <v>257</v>
      </c>
      <c r="G289" s="3" t="s">
        <v>358</v>
      </c>
      <c r="H289" s="3" t="s">
        <v>52</v>
      </c>
    </row>
    <row r="290" spans="1:8">
      <c r="A290" s="3" t="s">
        <v>1765</v>
      </c>
      <c r="B290" s="10" t="s">
        <v>10</v>
      </c>
      <c r="C290" s="3" t="s">
        <v>1686</v>
      </c>
      <c r="D290" s="3" t="s">
        <v>1687</v>
      </c>
      <c r="E290" s="3" t="s">
        <v>1688</v>
      </c>
      <c r="F290" s="3">
        <v>323</v>
      </c>
      <c r="G290" s="3" t="s">
        <v>358</v>
      </c>
      <c r="H290" s="3" t="s">
        <v>52</v>
      </c>
    </row>
    <row r="291" spans="1:8">
      <c r="A291" s="3" t="s">
        <v>570</v>
      </c>
      <c r="B291" s="10" t="s">
        <v>8</v>
      </c>
      <c r="C291" s="3" t="s">
        <v>1686</v>
      </c>
      <c r="D291" s="3" t="s">
        <v>1687</v>
      </c>
      <c r="E291" s="3" t="s">
        <v>1688</v>
      </c>
      <c r="F291" s="3">
        <v>67</v>
      </c>
      <c r="G291" s="3" t="s">
        <v>358</v>
      </c>
      <c r="H291" s="3" t="s">
        <v>52</v>
      </c>
    </row>
    <row r="292" spans="1:8">
      <c r="A292" s="3" t="s">
        <v>1142</v>
      </c>
      <c r="B292" s="10" t="s">
        <v>10</v>
      </c>
      <c r="C292" s="3" t="s">
        <v>1686</v>
      </c>
      <c r="D292" s="3" t="s">
        <v>1687</v>
      </c>
      <c r="E292" s="3" t="s">
        <v>1688</v>
      </c>
      <c r="F292" s="3">
        <v>91</v>
      </c>
      <c r="G292" s="3" t="s">
        <v>358</v>
      </c>
      <c r="H292" s="3" t="s">
        <v>52</v>
      </c>
    </row>
    <row r="293" spans="1:8">
      <c r="A293" s="3" t="s">
        <v>1549</v>
      </c>
      <c r="B293" s="10" t="s">
        <v>6</v>
      </c>
      <c r="C293" s="3" t="s">
        <v>1686</v>
      </c>
      <c r="D293" s="3" t="s">
        <v>1687</v>
      </c>
      <c r="E293" s="3" t="s">
        <v>1688</v>
      </c>
      <c r="F293" s="3">
        <v>45</v>
      </c>
      <c r="G293" s="3" t="s">
        <v>358</v>
      </c>
      <c r="H293" s="3" t="s">
        <v>52</v>
      </c>
    </row>
    <row r="294" spans="1:8">
      <c r="A294" s="3" t="s">
        <v>1107</v>
      </c>
      <c r="B294" s="10" t="s">
        <v>6</v>
      </c>
      <c r="C294" s="3" t="s">
        <v>1686</v>
      </c>
      <c r="D294" s="3" t="s">
        <v>1687</v>
      </c>
      <c r="E294" s="3" t="s">
        <v>1688</v>
      </c>
      <c r="F294" s="3">
        <v>46</v>
      </c>
      <c r="G294" s="3" t="s">
        <v>358</v>
      </c>
      <c r="H294" s="3" t="s">
        <v>52</v>
      </c>
    </row>
    <row r="295" spans="1:8">
      <c r="A295" s="3" t="s">
        <v>393</v>
      </c>
      <c r="B295" s="10" t="s">
        <v>10</v>
      </c>
      <c r="C295" s="3" t="s">
        <v>1686</v>
      </c>
      <c r="D295" s="3" t="s">
        <v>1687</v>
      </c>
      <c r="E295" s="3" t="s">
        <v>1688</v>
      </c>
      <c r="F295" s="3">
        <v>167</v>
      </c>
      <c r="G295" s="3" t="s">
        <v>358</v>
      </c>
      <c r="H295" s="3" t="s">
        <v>52</v>
      </c>
    </row>
    <row r="296" spans="1:8">
      <c r="A296" s="3" t="s">
        <v>234</v>
      </c>
      <c r="B296" s="10" t="s">
        <v>10</v>
      </c>
      <c r="C296" s="3" t="s">
        <v>1686</v>
      </c>
      <c r="D296" s="3" t="s">
        <v>1687</v>
      </c>
      <c r="E296" s="3" t="s">
        <v>1688</v>
      </c>
      <c r="F296" s="3">
        <v>57</v>
      </c>
      <c r="G296" s="3" t="s">
        <v>358</v>
      </c>
      <c r="H296" s="3" t="s">
        <v>52</v>
      </c>
    </row>
    <row r="297" spans="1:8">
      <c r="A297" s="3" t="s">
        <v>1766</v>
      </c>
      <c r="B297" s="10" t="s">
        <v>10</v>
      </c>
      <c r="C297" s="3" t="s">
        <v>1686</v>
      </c>
      <c r="D297" s="3" t="s">
        <v>1687</v>
      </c>
      <c r="E297" s="3" t="s">
        <v>1688</v>
      </c>
      <c r="F297" s="3">
        <v>258</v>
      </c>
      <c r="G297" s="3" t="s">
        <v>358</v>
      </c>
      <c r="H297" s="3" t="s">
        <v>52</v>
      </c>
    </row>
    <row r="298" spans="1:8">
      <c r="A298" s="3" t="s">
        <v>255</v>
      </c>
      <c r="B298" s="10" t="s">
        <v>10</v>
      </c>
      <c r="C298" s="3" t="s">
        <v>1686</v>
      </c>
      <c r="D298" s="3" t="s">
        <v>1687</v>
      </c>
      <c r="E298" s="3" t="s">
        <v>1688</v>
      </c>
      <c r="F298" s="3">
        <v>141</v>
      </c>
      <c r="G298" s="3" t="s">
        <v>358</v>
      </c>
      <c r="H298" s="3" t="s">
        <v>52</v>
      </c>
    </row>
    <row r="299" spans="1:8">
      <c r="A299" s="3" t="s">
        <v>754</v>
      </c>
      <c r="B299" s="10" t="s">
        <v>6</v>
      </c>
      <c r="C299" s="3" t="s">
        <v>1686</v>
      </c>
      <c r="D299" s="3" t="s">
        <v>1687</v>
      </c>
      <c r="E299" s="3" t="s">
        <v>1688</v>
      </c>
      <c r="F299" s="3">
        <v>92</v>
      </c>
      <c r="G299" s="3" t="s">
        <v>358</v>
      </c>
      <c r="H299" s="3" t="s">
        <v>52</v>
      </c>
    </row>
    <row r="300" spans="1:8">
      <c r="A300" s="3" t="s">
        <v>264</v>
      </c>
      <c r="B300" s="10" t="s">
        <v>10</v>
      </c>
      <c r="C300" s="3" t="s">
        <v>1686</v>
      </c>
      <c r="D300" s="3" t="s">
        <v>1687</v>
      </c>
      <c r="E300" s="3" t="s">
        <v>1688</v>
      </c>
      <c r="F300" s="3">
        <v>168</v>
      </c>
      <c r="G300" s="3" t="s">
        <v>358</v>
      </c>
      <c r="H300" s="3" t="s">
        <v>52</v>
      </c>
    </row>
    <row r="301" spans="1:8">
      <c r="A301" s="3" t="s">
        <v>759</v>
      </c>
      <c r="B301" s="10" t="s">
        <v>6</v>
      </c>
      <c r="C301" s="3" t="s">
        <v>1686</v>
      </c>
      <c r="D301" s="3" t="s">
        <v>1687</v>
      </c>
      <c r="E301" s="3" t="s">
        <v>1688</v>
      </c>
      <c r="F301" s="3">
        <v>47</v>
      </c>
      <c r="G301" s="3" t="s">
        <v>358</v>
      </c>
      <c r="H301" s="3" t="s">
        <v>52</v>
      </c>
    </row>
    <row r="302" spans="1:8">
      <c r="A302" s="3" t="s">
        <v>984</v>
      </c>
      <c r="B302" s="10" t="s">
        <v>10</v>
      </c>
      <c r="C302" s="3" t="s">
        <v>1686</v>
      </c>
      <c r="D302" s="3" t="s">
        <v>1687</v>
      </c>
      <c r="E302" s="3" t="s">
        <v>1688</v>
      </c>
      <c r="F302" s="3">
        <v>259</v>
      </c>
      <c r="G302" s="3" t="s">
        <v>358</v>
      </c>
      <c r="H302" s="3" t="s">
        <v>52</v>
      </c>
    </row>
    <row r="303" spans="1:8">
      <c r="A303" s="3" t="s">
        <v>1767</v>
      </c>
      <c r="B303" s="10" t="s">
        <v>10</v>
      </c>
      <c r="C303" s="3" t="s">
        <v>1686</v>
      </c>
      <c r="D303" s="3" t="s">
        <v>1687</v>
      </c>
      <c r="E303" s="3" t="s">
        <v>1688</v>
      </c>
      <c r="F303" s="3">
        <v>260</v>
      </c>
      <c r="G303" s="3" t="s">
        <v>358</v>
      </c>
      <c r="H303" s="3" t="s">
        <v>52</v>
      </c>
    </row>
    <row r="304" spans="1:8">
      <c r="A304" s="3" t="s">
        <v>1768</v>
      </c>
      <c r="B304" s="10" t="s">
        <v>10</v>
      </c>
      <c r="C304" s="3" t="s">
        <v>1686</v>
      </c>
      <c r="D304" s="3" t="s">
        <v>1687</v>
      </c>
      <c r="E304" s="3" t="s">
        <v>1688</v>
      </c>
      <c r="F304" s="3">
        <v>324</v>
      </c>
      <c r="G304" s="3" t="s">
        <v>358</v>
      </c>
      <c r="H304" s="3" t="s">
        <v>52</v>
      </c>
    </row>
    <row r="305" spans="1:8">
      <c r="A305" s="3" t="s">
        <v>1769</v>
      </c>
      <c r="B305" s="10" t="s">
        <v>10</v>
      </c>
      <c r="C305" s="3" t="s">
        <v>1686</v>
      </c>
      <c r="D305" s="3" t="s">
        <v>1687</v>
      </c>
      <c r="E305" s="3" t="s">
        <v>1688</v>
      </c>
      <c r="F305" s="3">
        <v>261</v>
      </c>
      <c r="G305" s="3" t="s">
        <v>358</v>
      </c>
      <c r="H305" s="3" t="s">
        <v>52</v>
      </c>
    </row>
    <row r="306" spans="1:8">
      <c r="A306" s="3" t="s">
        <v>1621</v>
      </c>
      <c r="B306" s="10" t="s">
        <v>10</v>
      </c>
      <c r="C306" s="3" t="s">
        <v>1686</v>
      </c>
      <c r="D306" s="3" t="s">
        <v>1687</v>
      </c>
      <c r="E306" s="3" t="s">
        <v>1688</v>
      </c>
      <c r="F306" s="3">
        <v>93</v>
      </c>
      <c r="G306" s="3" t="s">
        <v>358</v>
      </c>
      <c r="H306" s="3" t="s">
        <v>52</v>
      </c>
    </row>
    <row r="307" spans="1:8">
      <c r="A307" s="3" t="s">
        <v>839</v>
      </c>
      <c r="B307" s="10" t="s">
        <v>10</v>
      </c>
      <c r="C307" s="3" t="s">
        <v>1686</v>
      </c>
      <c r="D307" s="3" t="s">
        <v>1687</v>
      </c>
      <c r="E307" s="3" t="s">
        <v>1688</v>
      </c>
      <c r="F307" s="3">
        <v>94</v>
      </c>
      <c r="G307" s="3" t="s">
        <v>358</v>
      </c>
      <c r="H307" s="3" t="s">
        <v>52</v>
      </c>
    </row>
    <row r="308" spans="1:8">
      <c r="A308" s="3" t="s">
        <v>1770</v>
      </c>
      <c r="B308" s="10" t="s">
        <v>10</v>
      </c>
      <c r="C308" s="3" t="s">
        <v>1686</v>
      </c>
      <c r="D308" s="3" t="s">
        <v>1687</v>
      </c>
      <c r="E308" s="3" t="s">
        <v>1688</v>
      </c>
      <c r="F308" s="3">
        <v>262</v>
      </c>
      <c r="G308" s="3" t="s">
        <v>358</v>
      </c>
      <c r="H308" s="3" t="s">
        <v>52</v>
      </c>
    </row>
    <row r="309" spans="1:8">
      <c r="A309" s="3" t="s">
        <v>717</v>
      </c>
      <c r="B309" s="10" t="s">
        <v>10</v>
      </c>
      <c r="C309" s="3" t="s">
        <v>1686</v>
      </c>
      <c r="D309" s="3" t="s">
        <v>1687</v>
      </c>
      <c r="E309" s="3" t="s">
        <v>1688</v>
      </c>
      <c r="F309" s="3">
        <v>157</v>
      </c>
      <c r="G309" s="3" t="s">
        <v>358</v>
      </c>
      <c r="H309" s="3" t="s">
        <v>52</v>
      </c>
    </row>
    <row r="310" spans="1:8">
      <c r="A310" s="3" t="s">
        <v>416</v>
      </c>
      <c r="B310" s="10" t="s">
        <v>10</v>
      </c>
      <c r="C310" s="3" t="s">
        <v>1686</v>
      </c>
      <c r="D310" s="3" t="s">
        <v>1687</v>
      </c>
      <c r="E310" s="3" t="s">
        <v>1688</v>
      </c>
      <c r="F310" s="3">
        <v>129</v>
      </c>
      <c r="G310" s="3" t="s">
        <v>358</v>
      </c>
      <c r="H310" s="3" t="s">
        <v>52</v>
      </c>
    </row>
    <row r="311" spans="1:8">
      <c r="A311" s="3" t="s">
        <v>770</v>
      </c>
      <c r="B311" s="10" t="s">
        <v>10</v>
      </c>
      <c r="C311" s="3" t="s">
        <v>1686</v>
      </c>
      <c r="D311" s="3" t="s">
        <v>1687</v>
      </c>
      <c r="E311" s="3" t="s">
        <v>1688</v>
      </c>
      <c r="F311" s="3">
        <v>130</v>
      </c>
      <c r="G311" s="3" t="s">
        <v>358</v>
      </c>
      <c r="H311" s="3" t="s">
        <v>52</v>
      </c>
    </row>
    <row r="312" spans="1:8">
      <c r="A312" s="3" t="s">
        <v>740</v>
      </c>
      <c r="B312" s="10" t="s">
        <v>8</v>
      </c>
      <c r="C312" s="3" t="s">
        <v>1686</v>
      </c>
      <c r="D312" s="3" t="s">
        <v>1687</v>
      </c>
      <c r="E312" s="3" t="s">
        <v>1688</v>
      </c>
      <c r="F312" s="3">
        <v>186</v>
      </c>
      <c r="G312" s="3" t="s">
        <v>358</v>
      </c>
      <c r="H312" s="3" t="s">
        <v>52</v>
      </c>
    </row>
    <row r="313" spans="1:8">
      <c r="A313" s="3" t="s">
        <v>451</v>
      </c>
      <c r="B313" s="10" t="s">
        <v>8</v>
      </c>
      <c r="C313" s="3" t="s">
        <v>1686</v>
      </c>
      <c r="D313" s="3" t="s">
        <v>1687</v>
      </c>
      <c r="E313" s="3" t="s">
        <v>1688</v>
      </c>
      <c r="F313" s="3">
        <v>53</v>
      </c>
      <c r="G313" s="3" t="s">
        <v>358</v>
      </c>
      <c r="H313" s="3" t="s">
        <v>52</v>
      </c>
    </row>
    <row r="314" spans="1:8">
      <c r="A314" s="3" t="s">
        <v>1771</v>
      </c>
      <c r="B314" s="10" t="s">
        <v>10</v>
      </c>
      <c r="C314" s="3" t="s">
        <v>1686</v>
      </c>
      <c r="D314" s="3" t="s">
        <v>1687</v>
      </c>
      <c r="E314" s="3" t="s">
        <v>1688</v>
      </c>
      <c r="F314" s="3">
        <v>325</v>
      </c>
      <c r="G314" s="3" t="s">
        <v>358</v>
      </c>
      <c r="H314" s="3" t="s">
        <v>52</v>
      </c>
    </row>
    <row r="315" spans="1:8">
      <c r="A315" s="3" t="s">
        <v>1235</v>
      </c>
      <c r="B315" s="10" t="s">
        <v>10</v>
      </c>
      <c r="C315" s="3" t="s">
        <v>1686</v>
      </c>
      <c r="D315" s="3" t="s">
        <v>1687</v>
      </c>
      <c r="E315" s="3" t="s">
        <v>1688</v>
      </c>
      <c r="F315" s="3">
        <v>54</v>
      </c>
      <c r="G315" s="3" t="s">
        <v>358</v>
      </c>
      <c r="H315" s="3" t="s">
        <v>52</v>
      </c>
    </row>
    <row r="316" spans="1:8">
      <c r="A316" s="3" t="s">
        <v>1211</v>
      </c>
      <c r="B316" s="10" t="s">
        <v>10</v>
      </c>
      <c r="C316" s="3" t="s">
        <v>1686</v>
      </c>
      <c r="D316" s="3" t="s">
        <v>1687</v>
      </c>
      <c r="E316" s="3" t="s">
        <v>1688</v>
      </c>
      <c r="F316" s="3">
        <v>263</v>
      </c>
      <c r="G316" s="3" t="s">
        <v>358</v>
      </c>
      <c r="H316" s="3" t="s">
        <v>52</v>
      </c>
    </row>
    <row r="317" spans="1:8">
      <c r="A317" s="3" t="s">
        <v>240</v>
      </c>
      <c r="B317" s="10" t="s">
        <v>10</v>
      </c>
      <c r="C317" s="3" t="s">
        <v>1686</v>
      </c>
      <c r="D317" s="3" t="s">
        <v>1687</v>
      </c>
      <c r="E317" s="3" t="s">
        <v>1688</v>
      </c>
      <c r="F317" s="3">
        <v>139</v>
      </c>
      <c r="G317" s="3" t="s">
        <v>358</v>
      </c>
      <c r="H317" s="3" t="s">
        <v>52</v>
      </c>
    </row>
    <row r="318" spans="1:8">
      <c r="A318" s="3" t="s">
        <v>1172</v>
      </c>
      <c r="B318" s="10" t="s">
        <v>10</v>
      </c>
      <c r="C318" s="3" t="s">
        <v>1686</v>
      </c>
      <c r="D318" s="3" t="s">
        <v>1687</v>
      </c>
      <c r="E318" s="3" t="s">
        <v>1688</v>
      </c>
      <c r="F318" s="3">
        <v>131</v>
      </c>
      <c r="G318" s="3" t="s">
        <v>358</v>
      </c>
      <c r="H318" s="3" t="s">
        <v>52</v>
      </c>
    </row>
    <row r="319" spans="1:8">
      <c r="A319" s="3" t="s">
        <v>1772</v>
      </c>
      <c r="B319" s="10" t="s">
        <v>10</v>
      </c>
      <c r="C319" s="3" t="s">
        <v>1686</v>
      </c>
      <c r="D319" s="3" t="s">
        <v>1687</v>
      </c>
      <c r="E319" s="3" t="s">
        <v>1688</v>
      </c>
      <c r="F319" s="3">
        <v>264</v>
      </c>
      <c r="G319" s="3" t="s">
        <v>358</v>
      </c>
      <c r="H319" s="3" t="s">
        <v>52</v>
      </c>
    </row>
    <row r="320" spans="1:8">
      <c r="A320" s="3" t="s">
        <v>939</v>
      </c>
      <c r="B320" s="10" t="s">
        <v>10</v>
      </c>
      <c r="C320" s="3" t="s">
        <v>1686</v>
      </c>
      <c r="D320" s="3" t="s">
        <v>1687</v>
      </c>
      <c r="E320" s="3" t="s">
        <v>1688</v>
      </c>
      <c r="F320" s="3">
        <v>95</v>
      </c>
      <c r="G320" s="3" t="s">
        <v>358</v>
      </c>
      <c r="H320" s="3" t="s">
        <v>52</v>
      </c>
    </row>
    <row r="321" spans="1:8">
      <c r="A321" s="3" t="s">
        <v>1773</v>
      </c>
      <c r="B321" s="10" t="s">
        <v>10</v>
      </c>
      <c r="C321" s="3" t="s">
        <v>1686</v>
      </c>
      <c r="D321" s="3" t="s">
        <v>1687</v>
      </c>
      <c r="E321" s="3" t="s">
        <v>1688</v>
      </c>
      <c r="F321" s="3">
        <v>265</v>
      </c>
      <c r="G321" s="3" t="s">
        <v>358</v>
      </c>
      <c r="H321" s="3" t="s">
        <v>52</v>
      </c>
    </row>
    <row r="322" spans="1:8">
      <c r="A322" s="3" t="s">
        <v>1774</v>
      </c>
      <c r="B322" s="10" t="s">
        <v>10</v>
      </c>
      <c r="C322" s="3" t="s">
        <v>1686</v>
      </c>
      <c r="D322" s="3" t="s">
        <v>1687</v>
      </c>
      <c r="E322" s="3" t="s">
        <v>1688</v>
      </c>
      <c r="F322" s="3">
        <v>326</v>
      </c>
      <c r="G322" s="3" t="s">
        <v>358</v>
      </c>
      <c r="H322" s="3" t="s">
        <v>52</v>
      </c>
    </row>
    <row r="323" spans="1:8">
      <c r="A323" s="3" t="s">
        <v>1344</v>
      </c>
      <c r="B323" s="10" t="s">
        <v>10</v>
      </c>
      <c r="C323" s="3" t="s">
        <v>1686</v>
      </c>
      <c r="D323" s="3" t="s">
        <v>1687</v>
      </c>
      <c r="E323" s="3" t="s">
        <v>1688</v>
      </c>
      <c r="F323" s="3">
        <v>327</v>
      </c>
      <c r="G323" s="3" t="s">
        <v>358</v>
      </c>
      <c r="H323" s="3" t="s">
        <v>52</v>
      </c>
    </row>
    <row r="324" spans="1:8">
      <c r="A324" s="3" t="s">
        <v>547</v>
      </c>
      <c r="B324" s="10" t="s">
        <v>10</v>
      </c>
      <c r="C324" s="3" t="s">
        <v>1686</v>
      </c>
      <c r="D324" s="3" t="s">
        <v>1687</v>
      </c>
      <c r="E324" s="3" t="s">
        <v>1688</v>
      </c>
      <c r="F324" s="3">
        <v>132</v>
      </c>
      <c r="G324" s="3" t="s">
        <v>358</v>
      </c>
      <c r="H324" s="3" t="s">
        <v>52</v>
      </c>
    </row>
    <row r="325" spans="1:8">
      <c r="A325" s="3" t="s">
        <v>1253</v>
      </c>
      <c r="B325" s="10" t="s">
        <v>10</v>
      </c>
      <c r="C325" s="3" t="s">
        <v>1686</v>
      </c>
      <c r="D325" s="3" t="s">
        <v>1687</v>
      </c>
      <c r="E325" s="3" t="s">
        <v>1688</v>
      </c>
      <c r="F325" s="3">
        <v>328</v>
      </c>
      <c r="G325" s="3" t="s">
        <v>358</v>
      </c>
      <c r="H325" s="3" t="s">
        <v>52</v>
      </c>
    </row>
    <row r="326" spans="1:8">
      <c r="A326" s="3" t="s">
        <v>1775</v>
      </c>
      <c r="B326" s="10" t="s">
        <v>10</v>
      </c>
      <c r="C326" s="3" t="s">
        <v>1686</v>
      </c>
      <c r="D326" s="3" t="s">
        <v>1687</v>
      </c>
      <c r="E326" s="3" t="s">
        <v>1688</v>
      </c>
      <c r="F326" s="3">
        <v>266</v>
      </c>
      <c r="G326" s="3" t="s">
        <v>358</v>
      </c>
      <c r="H326" s="3" t="s">
        <v>52</v>
      </c>
    </row>
    <row r="327" spans="1:8">
      <c r="A327" s="3" t="s">
        <v>614</v>
      </c>
      <c r="B327" s="10" t="s">
        <v>6</v>
      </c>
      <c r="C327" s="3" t="s">
        <v>1686</v>
      </c>
      <c r="D327" s="3" t="s">
        <v>1687</v>
      </c>
      <c r="E327" s="3" t="s">
        <v>1688</v>
      </c>
      <c r="F327" s="3">
        <v>96</v>
      </c>
      <c r="G327" s="3" t="s">
        <v>358</v>
      </c>
      <c r="H327" s="3" t="s">
        <v>52</v>
      </c>
    </row>
    <row r="328" spans="1:8">
      <c r="A328" s="3" t="s">
        <v>431</v>
      </c>
      <c r="B328" s="10" t="s">
        <v>10</v>
      </c>
      <c r="C328" s="3" t="s">
        <v>1686</v>
      </c>
      <c r="D328" s="3" t="s">
        <v>1687</v>
      </c>
      <c r="E328" s="3" t="s">
        <v>1688</v>
      </c>
      <c r="F328" s="3">
        <v>97</v>
      </c>
      <c r="G328" s="3" t="s">
        <v>358</v>
      </c>
      <c r="H328" s="3" t="s">
        <v>52</v>
      </c>
    </row>
    <row r="329" spans="1:8">
      <c r="A329" s="3" t="s">
        <v>1304</v>
      </c>
      <c r="B329" s="10" t="s">
        <v>10</v>
      </c>
      <c r="C329" s="3" t="s">
        <v>1686</v>
      </c>
      <c r="D329" s="3" t="s">
        <v>1687</v>
      </c>
      <c r="E329" s="3" t="s">
        <v>1688</v>
      </c>
      <c r="F329" s="3">
        <v>133</v>
      </c>
      <c r="G329" s="3" t="s">
        <v>358</v>
      </c>
      <c r="H329" s="3" t="s">
        <v>52</v>
      </c>
    </row>
    <row r="330" spans="1:8">
      <c r="A330" s="3" t="s">
        <v>505</v>
      </c>
      <c r="B330" s="10" t="s">
        <v>10</v>
      </c>
      <c r="C330" s="3" t="s">
        <v>1686</v>
      </c>
      <c r="D330" s="3" t="s">
        <v>1687</v>
      </c>
      <c r="E330" s="3" t="s">
        <v>1688</v>
      </c>
      <c r="F330" s="3">
        <v>329</v>
      </c>
      <c r="G330" s="3" t="s">
        <v>358</v>
      </c>
      <c r="H330" s="3" t="s">
        <v>52</v>
      </c>
    </row>
    <row r="331" spans="1:8">
      <c r="A331" s="3" t="s">
        <v>1776</v>
      </c>
      <c r="B331" s="10" t="s">
        <v>10</v>
      </c>
      <c r="C331" s="3" t="s">
        <v>1686</v>
      </c>
      <c r="D331" s="3" t="s">
        <v>1687</v>
      </c>
      <c r="E331" s="3" t="s">
        <v>1688</v>
      </c>
      <c r="F331" s="3">
        <v>330</v>
      </c>
      <c r="G331" s="3" t="s">
        <v>358</v>
      </c>
      <c r="H331" s="3" t="s">
        <v>52</v>
      </c>
    </row>
    <row r="332" spans="1:8">
      <c r="A332" s="3" t="s">
        <v>500</v>
      </c>
      <c r="B332" s="10" t="s">
        <v>10</v>
      </c>
      <c r="C332" s="3" t="s">
        <v>1686</v>
      </c>
      <c r="D332" s="3" t="s">
        <v>1687</v>
      </c>
      <c r="E332" s="3" t="s">
        <v>1688</v>
      </c>
      <c r="F332" s="3">
        <v>158</v>
      </c>
      <c r="G332" s="3" t="s">
        <v>358</v>
      </c>
      <c r="H332" s="3" t="s">
        <v>52</v>
      </c>
    </row>
    <row r="333" spans="1:8">
      <c r="A333" s="3" t="s">
        <v>1777</v>
      </c>
      <c r="B333" s="10" t="s">
        <v>10</v>
      </c>
      <c r="C333" s="3" t="s">
        <v>1686</v>
      </c>
      <c r="D333" s="3" t="s">
        <v>1687</v>
      </c>
      <c r="E333" s="3" t="s">
        <v>1688</v>
      </c>
      <c r="F333" s="3">
        <v>267</v>
      </c>
      <c r="G333" s="3" t="s">
        <v>358</v>
      </c>
      <c r="H333" s="3" t="s">
        <v>52</v>
      </c>
    </row>
    <row r="334" spans="1:8">
      <c r="A334" s="3" t="s">
        <v>270</v>
      </c>
      <c r="B334" s="10" t="s">
        <v>10</v>
      </c>
      <c r="C334" s="3" t="s">
        <v>1686</v>
      </c>
      <c r="D334" s="3" t="s">
        <v>1687</v>
      </c>
      <c r="E334" s="3" t="s">
        <v>1688</v>
      </c>
      <c r="F334" s="3">
        <v>68</v>
      </c>
      <c r="G334" s="3" t="s">
        <v>358</v>
      </c>
      <c r="H334" s="3" t="s">
        <v>52</v>
      </c>
    </row>
    <row r="335" spans="1:8">
      <c r="A335" s="3" t="s">
        <v>1778</v>
      </c>
      <c r="B335" s="10" t="s">
        <v>10</v>
      </c>
      <c r="C335" s="3" t="s">
        <v>1686</v>
      </c>
      <c r="D335" s="3" t="s">
        <v>1687</v>
      </c>
      <c r="E335" s="3" t="s">
        <v>1688</v>
      </c>
      <c r="F335" s="3">
        <v>187</v>
      </c>
      <c r="G335" s="3" t="s">
        <v>358</v>
      </c>
      <c r="H335" s="3" t="s">
        <v>52</v>
      </c>
    </row>
    <row r="336" spans="1:8">
      <c r="A336" s="3" t="s">
        <v>246</v>
      </c>
      <c r="B336" s="10" t="s">
        <v>10</v>
      </c>
      <c r="C336" s="3" t="s">
        <v>1686</v>
      </c>
      <c r="D336" s="3" t="s">
        <v>1687</v>
      </c>
      <c r="E336" s="3" t="s">
        <v>1688</v>
      </c>
      <c r="F336" s="3">
        <v>69</v>
      </c>
      <c r="G336" s="3" t="s">
        <v>358</v>
      </c>
      <c r="H336" s="3" t="s">
        <v>52</v>
      </c>
    </row>
    <row r="337" spans="1:8">
      <c r="A337" s="3" t="s">
        <v>580</v>
      </c>
      <c r="B337" s="10" t="s">
        <v>10</v>
      </c>
      <c r="C337" s="3" t="s">
        <v>1686</v>
      </c>
      <c r="D337" s="3" t="s">
        <v>1687</v>
      </c>
      <c r="E337" s="3" t="s">
        <v>1688</v>
      </c>
      <c r="F337" s="3">
        <v>337</v>
      </c>
      <c r="G337" s="3" t="s">
        <v>358</v>
      </c>
      <c r="H337" s="3" t="s">
        <v>52</v>
      </c>
    </row>
    <row r="338" spans="1:8">
      <c r="A338" s="3" t="s">
        <v>1779</v>
      </c>
      <c r="B338" s="10" t="s">
        <v>10</v>
      </c>
      <c r="C338" s="3" t="s">
        <v>1686</v>
      </c>
      <c r="D338" s="3" t="s">
        <v>1687</v>
      </c>
      <c r="E338" s="3" t="s">
        <v>1688</v>
      </c>
      <c r="F338" s="3">
        <v>331</v>
      </c>
      <c r="G338" s="3" t="s">
        <v>358</v>
      </c>
      <c r="H338" s="3" t="s">
        <v>52</v>
      </c>
    </row>
    <row r="339" spans="1:8">
      <c r="A339" s="3" t="s">
        <v>1216</v>
      </c>
      <c r="B339" s="10" t="s">
        <v>10</v>
      </c>
      <c r="C339" s="3" t="s">
        <v>1686</v>
      </c>
      <c r="D339" s="3" t="s">
        <v>1687</v>
      </c>
      <c r="E339" s="3" t="s">
        <v>1688</v>
      </c>
      <c r="F339" s="3">
        <v>350</v>
      </c>
      <c r="G339" s="3" t="s">
        <v>358</v>
      </c>
      <c r="H339" s="3" t="s">
        <v>52</v>
      </c>
    </row>
    <row r="340" spans="1:8">
      <c r="A340" s="3" t="s">
        <v>962</v>
      </c>
      <c r="B340" s="10" t="s">
        <v>10</v>
      </c>
      <c r="C340" s="3" t="s">
        <v>1686</v>
      </c>
      <c r="D340" s="3" t="s">
        <v>1687</v>
      </c>
      <c r="E340" s="3" t="s">
        <v>1688</v>
      </c>
      <c r="F340" s="3">
        <v>134</v>
      </c>
      <c r="G340" s="3" t="s">
        <v>358</v>
      </c>
      <c r="H340" s="3" t="s">
        <v>52</v>
      </c>
    </row>
    <row r="341" spans="1:8">
      <c r="A341" s="3" t="s">
        <v>905</v>
      </c>
      <c r="B341" s="10" t="s">
        <v>6</v>
      </c>
      <c r="C341" s="3" t="s">
        <v>1686</v>
      </c>
      <c r="D341" s="3" t="s">
        <v>1687</v>
      </c>
      <c r="E341" s="3" t="s">
        <v>1688</v>
      </c>
      <c r="F341" s="3">
        <v>48</v>
      </c>
      <c r="G341" s="3" t="s">
        <v>358</v>
      </c>
      <c r="H341" s="3" t="s">
        <v>52</v>
      </c>
    </row>
    <row r="342" spans="1:8">
      <c r="A342" s="3" t="s">
        <v>1780</v>
      </c>
      <c r="B342" s="10" t="s">
        <v>10</v>
      </c>
      <c r="C342" s="3" t="s">
        <v>1686</v>
      </c>
      <c r="D342" s="3" t="s">
        <v>1687</v>
      </c>
      <c r="E342" s="3" t="s">
        <v>1688</v>
      </c>
      <c r="F342" s="3">
        <v>169</v>
      </c>
      <c r="G342" s="3" t="s">
        <v>358</v>
      </c>
      <c r="H342" s="3" t="s">
        <v>52</v>
      </c>
    </row>
    <row r="343" spans="1:8">
      <c r="A343" s="3" t="s">
        <v>1465</v>
      </c>
      <c r="B343" s="10" t="s">
        <v>10</v>
      </c>
      <c r="C343" s="3" t="s">
        <v>1686</v>
      </c>
      <c r="D343" s="3" t="s">
        <v>1687</v>
      </c>
      <c r="E343" s="3" t="s">
        <v>1688</v>
      </c>
      <c r="F343" s="3">
        <v>332</v>
      </c>
      <c r="G343" s="3" t="s">
        <v>358</v>
      </c>
      <c r="H343" s="3" t="s">
        <v>52</v>
      </c>
    </row>
    <row r="344" spans="1:8">
      <c r="A344" s="3" t="s">
        <v>1781</v>
      </c>
      <c r="B344" s="10" t="s">
        <v>10</v>
      </c>
      <c r="C344" s="3" t="s">
        <v>1686</v>
      </c>
      <c r="D344" s="3" t="s">
        <v>1687</v>
      </c>
      <c r="E344" s="3" t="s">
        <v>1688</v>
      </c>
      <c r="F344" s="3">
        <v>188</v>
      </c>
      <c r="G344" s="3" t="s">
        <v>358</v>
      </c>
      <c r="H344" s="3" t="s">
        <v>52</v>
      </c>
    </row>
    <row r="345" spans="1:8">
      <c r="A345" s="3" t="s">
        <v>1603</v>
      </c>
      <c r="B345" s="10" t="s">
        <v>10</v>
      </c>
      <c r="C345" s="3" t="s">
        <v>1686</v>
      </c>
      <c r="D345" s="3" t="s">
        <v>1687</v>
      </c>
      <c r="E345" s="3" t="s">
        <v>1688</v>
      </c>
      <c r="F345" s="3">
        <v>135</v>
      </c>
      <c r="G345" s="3" t="s">
        <v>358</v>
      </c>
      <c r="H345" s="3" t="s">
        <v>52</v>
      </c>
    </row>
    <row r="346" spans="1:8">
      <c r="A346" s="3" t="s">
        <v>923</v>
      </c>
      <c r="B346" s="10" t="s">
        <v>10</v>
      </c>
      <c r="C346" s="3" t="s">
        <v>1686</v>
      </c>
      <c r="D346" s="3" t="s">
        <v>1687</v>
      </c>
      <c r="E346" s="3" t="s">
        <v>1688</v>
      </c>
      <c r="F346" s="3">
        <v>136</v>
      </c>
      <c r="G346" s="3" t="s">
        <v>358</v>
      </c>
      <c r="H346" s="3" t="s">
        <v>52</v>
      </c>
    </row>
    <row r="347" spans="1:8">
      <c r="A347" s="3" t="s">
        <v>721</v>
      </c>
      <c r="B347" s="10" t="s">
        <v>10</v>
      </c>
      <c r="C347" s="3" t="s">
        <v>1686</v>
      </c>
      <c r="D347" s="3" t="s">
        <v>1687</v>
      </c>
      <c r="E347" s="3" t="s">
        <v>1688</v>
      </c>
      <c r="F347" s="3">
        <v>137</v>
      </c>
      <c r="G347" s="3" t="s">
        <v>358</v>
      </c>
      <c r="H347" s="3" t="s">
        <v>52</v>
      </c>
    </row>
    <row r="348" spans="1:8">
      <c r="A348" s="3" t="s">
        <v>199</v>
      </c>
      <c r="B348" s="10" t="s">
        <v>10</v>
      </c>
      <c r="C348" s="3" t="s">
        <v>1686</v>
      </c>
      <c r="D348" s="3" t="s">
        <v>1687</v>
      </c>
      <c r="E348" s="3" t="s">
        <v>1688</v>
      </c>
      <c r="F348" s="3">
        <v>268</v>
      </c>
      <c r="G348" s="3" t="s">
        <v>358</v>
      </c>
      <c r="H348" s="3" t="s">
        <v>52</v>
      </c>
    </row>
    <row r="349" spans="1:8">
      <c r="A349" s="3" t="s">
        <v>927</v>
      </c>
      <c r="B349" s="10" t="s">
        <v>6</v>
      </c>
      <c r="C349" s="3" t="s">
        <v>1686</v>
      </c>
      <c r="D349" s="3" t="s">
        <v>1687</v>
      </c>
      <c r="E349" s="3" t="s">
        <v>1688</v>
      </c>
      <c r="F349" s="3">
        <v>49</v>
      </c>
      <c r="G349" s="3" t="s">
        <v>358</v>
      </c>
      <c r="H349" s="3" t="s">
        <v>52</v>
      </c>
    </row>
    <row r="350" spans="1:8">
      <c r="A350" s="3" t="s">
        <v>365</v>
      </c>
      <c r="B350" s="10" t="s">
        <v>6</v>
      </c>
      <c r="C350" s="3" t="s">
        <v>1686</v>
      </c>
      <c r="D350" s="3" t="s">
        <v>1687</v>
      </c>
      <c r="E350" s="3" t="s">
        <v>1688</v>
      </c>
      <c r="F350" s="3">
        <v>50</v>
      </c>
      <c r="G350" s="3" t="s">
        <v>358</v>
      </c>
      <c r="H350" s="3" t="s">
        <v>52</v>
      </c>
    </row>
    <row r="351" spans="1:8">
      <c r="A351" s="3" t="s">
        <v>1782</v>
      </c>
      <c r="B351" s="10" t="s">
        <v>10</v>
      </c>
      <c r="C351" s="3" t="s">
        <v>1686</v>
      </c>
      <c r="D351" s="3" t="s">
        <v>1687</v>
      </c>
      <c r="E351" s="3" t="s">
        <v>1688</v>
      </c>
      <c r="F351" s="3">
        <v>269</v>
      </c>
      <c r="G351" s="3" t="s">
        <v>358</v>
      </c>
      <c r="H351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Règles de jugement</vt:lpstr>
      <vt:lpstr>Synthèse</vt:lpstr>
      <vt:lpstr>Revue complémentaire</vt:lpstr>
      <vt:lpstr>Contrôle négatif acquis</vt:lpstr>
      <vt:lpstr>Jugements acquis</vt:lpstr>
      <vt:lpstr>Composants acquis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Eloi Primaux</cp:lastModifiedBy>
  <dcterms:modified xsi:type="dcterms:W3CDTF">2026-09-01T19:17:10Z</dcterms:modified>
</cp:coreProperties>
</file>